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drawings/drawing2.xml" ContentType="application/vnd.openxmlformats-officedocument.drawing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drawings/drawing3.xml" ContentType="application/vnd.openxmlformats-officedocument.drawing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drawings/drawing4.xml" ContentType="application/vnd.openxmlformats-officedocument.drawing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drawings/drawing5.xml" ContentType="application/vnd.openxmlformats-officedocument.drawing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drawings/drawing6.xml" ContentType="application/vnd.openxmlformats-officedocument.drawing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drawings/drawing7.xml" ContentType="application/vnd.openxmlformats-officedocument.drawing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xl/drawings/drawing8.xml" ContentType="application/vnd.openxmlformats-officedocument.drawing+xml"/>
  <Override PartName="/xl/ctrlProps/ctrlProp365.xml" ContentType="application/vnd.ms-excel.controlproperties+xml"/>
  <Override PartName="/xl/ctrlProps/ctrlProp366.xml" ContentType="application/vnd.ms-excel.controlproperties+xml"/>
  <Override PartName="/xl/ctrlProps/ctrlProp367.xml" ContentType="application/vnd.ms-excel.controlproperties+xml"/>
  <Override PartName="/xl/ctrlProps/ctrlProp368.xml" ContentType="application/vnd.ms-excel.controlproperties+xml"/>
  <Override PartName="/xl/ctrlProps/ctrlProp369.xml" ContentType="application/vnd.ms-excel.controlproperties+xml"/>
  <Override PartName="/xl/ctrlProps/ctrlProp370.xml" ContentType="application/vnd.ms-excel.controlproperties+xml"/>
  <Override PartName="/xl/ctrlProps/ctrlProp371.xml" ContentType="application/vnd.ms-excel.controlproperties+xml"/>
  <Override PartName="/xl/ctrlProps/ctrlProp372.xml" ContentType="application/vnd.ms-excel.controlproperties+xml"/>
  <Override PartName="/xl/ctrlProps/ctrlProp373.xml" ContentType="application/vnd.ms-excel.controlproperties+xml"/>
  <Override PartName="/xl/ctrlProps/ctrlProp374.xml" ContentType="application/vnd.ms-excel.controlproperties+xml"/>
  <Override PartName="/xl/ctrlProps/ctrlProp375.xml" ContentType="application/vnd.ms-excel.controlproperties+xml"/>
  <Override PartName="/xl/ctrlProps/ctrlProp376.xml" ContentType="application/vnd.ms-excel.controlproperties+xml"/>
  <Override PartName="/xl/ctrlProps/ctrlProp377.xml" ContentType="application/vnd.ms-excel.controlproperties+xml"/>
  <Override PartName="/xl/ctrlProps/ctrlProp378.xml" ContentType="application/vnd.ms-excel.controlproperties+xml"/>
  <Override PartName="/xl/ctrlProps/ctrlProp379.xml" ContentType="application/vnd.ms-excel.controlproperties+xml"/>
  <Override PartName="/xl/ctrlProps/ctrlProp380.xml" ContentType="application/vnd.ms-excel.controlproperties+xml"/>
  <Override PartName="/xl/ctrlProps/ctrlProp381.xml" ContentType="application/vnd.ms-excel.controlproperties+xml"/>
  <Override PartName="/xl/ctrlProps/ctrlProp382.xml" ContentType="application/vnd.ms-excel.controlproperties+xml"/>
  <Override PartName="/xl/ctrlProps/ctrlProp383.xml" ContentType="application/vnd.ms-excel.controlproperties+xml"/>
  <Override PartName="/xl/ctrlProps/ctrlProp384.xml" ContentType="application/vnd.ms-excel.controlproperties+xml"/>
  <Override PartName="/xl/ctrlProps/ctrlProp385.xml" ContentType="application/vnd.ms-excel.controlproperties+xml"/>
  <Override PartName="/xl/ctrlProps/ctrlProp386.xml" ContentType="application/vnd.ms-excel.controlproperties+xml"/>
  <Override PartName="/xl/ctrlProps/ctrlProp387.xml" ContentType="application/vnd.ms-excel.controlproperties+xml"/>
  <Override PartName="/xl/ctrlProps/ctrlProp388.xml" ContentType="application/vnd.ms-excel.controlproperties+xml"/>
  <Override PartName="/xl/ctrlProps/ctrlProp389.xml" ContentType="application/vnd.ms-excel.controlproperties+xml"/>
  <Override PartName="/xl/ctrlProps/ctrlProp390.xml" ContentType="application/vnd.ms-excel.controlproperties+xml"/>
  <Override PartName="/xl/ctrlProps/ctrlProp391.xml" ContentType="application/vnd.ms-excel.controlproperties+xml"/>
  <Override PartName="/xl/ctrlProps/ctrlProp392.xml" ContentType="application/vnd.ms-excel.controlproperties+xml"/>
  <Override PartName="/xl/ctrlProps/ctrlProp393.xml" ContentType="application/vnd.ms-excel.controlproperties+xml"/>
  <Override PartName="/xl/ctrlProps/ctrlProp394.xml" ContentType="application/vnd.ms-excel.controlproperties+xml"/>
  <Override PartName="/xl/ctrlProps/ctrlProp395.xml" ContentType="application/vnd.ms-excel.controlproperties+xml"/>
  <Override PartName="/xl/ctrlProps/ctrlProp396.xml" ContentType="application/vnd.ms-excel.controlproperties+xml"/>
  <Override PartName="/xl/ctrlProps/ctrlProp397.xml" ContentType="application/vnd.ms-excel.controlproperties+xml"/>
  <Override PartName="/xl/ctrlProps/ctrlProp398.xml" ContentType="application/vnd.ms-excel.controlproperties+xml"/>
  <Override PartName="/xl/ctrlProps/ctrlProp399.xml" ContentType="application/vnd.ms-excel.controlproperties+xml"/>
  <Override PartName="/xl/ctrlProps/ctrlProp400.xml" ContentType="application/vnd.ms-excel.controlproperties+xml"/>
  <Override PartName="/xl/ctrlProps/ctrlProp401.xml" ContentType="application/vnd.ms-excel.controlproperties+xml"/>
  <Override PartName="/xl/ctrlProps/ctrlProp402.xml" ContentType="application/vnd.ms-excel.controlproperties+xml"/>
  <Override PartName="/xl/ctrlProps/ctrlProp403.xml" ContentType="application/vnd.ms-excel.controlproperties+xml"/>
  <Override PartName="/xl/ctrlProps/ctrlProp404.xml" ContentType="application/vnd.ms-excel.controlproperties+xml"/>
  <Override PartName="/xl/ctrlProps/ctrlProp405.xml" ContentType="application/vnd.ms-excel.controlproperties+xml"/>
  <Override PartName="/xl/ctrlProps/ctrlProp406.xml" ContentType="application/vnd.ms-excel.controlproperties+xml"/>
  <Override PartName="/xl/ctrlProps/ctrlProp407.xml" ContentType="application/vnd.ms-excel.controlproperties+xml"/>
  <Override PartName="/xl/ctrlProps/ctrlProp408.xml" ContentType="application/vnd.ms-excel.controlproperties+xml"/>
  <Override PartName="/xl/ctrlProps/ctrlProp409.xml" ContentType="application/vnd.ms-excel.controlproperties+xml"/>
  <Override PartName="/xl/ctrlProps/ctrlProp410.xml" ContentType="application/vnd.ms-excel.controlproperties+xml"/>
  <Override PartName="/xl/ctrlProps/ctrlProp411.xml" ContentType="application/vnd.ms-excel.controlproperties+xml"/>
  <Override PartName="/xl/ctrlProps/ctrlProp412.xml" ContentType="application/vnd.ms-excel.controlproperties+xml"/>
  <Override PartName="/xl/ctrlProps/ctrlProp413.xml" ContentType="application/vnd.ms-excel.controlproperties+xml"/>
  <Override PartName="/xl/ctrlProps/ctrlProp414.xml" ContentType="application/vnd.ms-excel.controlproperties+xml"/>
  <Override PartName="/xl/ctrlProps/ctrlProp415.xml" ContentType="application/vnd.ms-excel.controlproperties+xml"/>
  <Override PartName="/xl/ctrlProps/ctrlProp416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A:\risk_server\project\near_miss\"/>
    </mc:Choice>
  </mc:AlternateContent>
  <xr:revisionPtr revIDLastSave="0" documentId="13_ncr:1_{9AF07E7A-DE15-4A52-9D21-879A4A493204}" xr6:coauthVersionLast="47" xr6:coauthVersionMax="47" xr10:uidLastSave="{00000000-0000-0000-0000-000000000000}"/>
  <bookViews>
    <workbookView xWindow="-120" yWindow="-120" windowWidth="29040" windowHeight="15840" firstSheet="1" activeTab="6" xr2:uid="{24BE0CD6-9476-4E03-8A70-3B2BDC0BF986}"/>
  </bookViews>
  <sheets>
    <sheet name="DROPDOWN_LIST" sheetId="6" r:id="rId1"/>
    <sheet name="near_miss_excel_view" sheetId="5" r:id="rId2"/>
    <sheet name="보고서(4-01)" sheetId="15" r:id="rId3"/>
    <sheet name="보고서(4-02)" sheetId="14" r:id="rId4"/>
    <sheet name="보고서(4-03)" sheetId="13" r:id="rId5"/>
    <sheet name="보고서(4-13) (2)" sheetId="12" r:id="rId6"/>
    <sheet name="보고서(4-13)" sheetId="11" r:id="rId7"/>
    <sheet name="보고서(4-15)" sheetId="10" r:id="rId8"/>
    <sheet name="보고서(4-16)" sheetId="9" r:id="rId9"/>
    <sheet name="보고서(4-18)" sheetId="7" r:id="rId10"/>
  </sheets>
  <externalReferences>
    <externalReference r:id="rId11"/>
  </externalReferences>
  <definedNames>
    <definedName name="_xlnm._FilterDatabase" localSheetId="2" hidden="1">'보고서(4-01)'!$A$1:$I$7</definedName>
    <definedName name="_xlnm._FilterDatabase" localSheetId="3" hidden="1">'보고서(4-02)'!$A$1:$I$7</definedName>
    <definedName name="_xlnm._FilterDatabase" localSheetId="4" hidden="1">'보고서(4-03)'!$A$1:$I$7</definedName>
    <definedName name="_xlnm._FilterDatabase" localSheetId="6" hidden="1">'보고서(4-13)'!$A$1:$I$7</definedName>
    <definedName name="_xlnm._FilterDatabase" localSheetId="5" hidden="1">'보고서(4-13) (2)'!$A$1:$I$7</definedName>
    <definedName name="_xlnm._FilterDatabase" localSheetId="7" hidden="1">'보고서(4-15)'!$A$1:$I$7</definedName>
    <definedName name="_xlnm._FilterDatabase" localSheetId="8" hidden="1">'보고서(4-16)'!$A$1:$I$7</definedName>
    <definedName name="_xlnm._FilterDatabase" localSheetId="9" hidden="1">'보고서(4-18)'!$A$1:$I$7</definedName>
    <definedName name="ExternalData_4" localSheetId="1" hidden="1">near_miss_excel_view!$A$1:$N$62</definedName>
    <definedName name="_xlnm.Print_Area" localSheetId="2">'보고서(4-01)'!$A$1:$I$48</definedName>
    <definedName name="_xlnm.Print_Area" localSheetId="3">'보고서(4-02)'!$A$1:$I$48</definedName>
    <definedName name="_xlnm.Print_Area" localSheetId="4">'보고서(4-03)'!$A$1:$I$48</definedName>
    <definedName name="_xlnm.Print_Area" localSheetId="6">'보고서(4-13)'!$A$1:$I$48</definedName>
    <definedName name="_xlnm.Print_Area" localSheetId="5">'보고서(4-13) (2)'!$A$1:$I$48</definedName>
    <definedName name="_xlnm.Print_Area" localSheetId="7">'보고서(4-15)'!$A$1:$I$48</definedName>
    <definedName name="_xlnm.Print_Area" localSheetId="8">'보고서(4-16)'!$A$1:$I$48</definedName>
    <definedName name="_xlnm.Print_Area" localSheetId="9">'보고서(4-18)'!$A$1:$I$48</definedName>
    <definedName name="ㅁ1" localSheetId="2">'[1]`98지침'!#REF!</definedName>
    <definedName name="ㅁ1" localSheetId="3">'[1]`98지침'!#REF!</definedName>
    <definedName name="ㅁ1" localSheetId="4">'[1]`98지침'!#REF!</definedName>
    <definedName name="ㅁ1" localSheetId="6">'[1]`98지침'!#REF!</definedName>
    <definedName name="ㅁ1" localSheetId="5">'[1]`98지침'!#REF!</definedName>
    <definedName name="ㅁ1" localSheetId="7">'[1]`98지침'!#REF!</definedName>
    <definedName name="ㅁ1" localSheetId="8">'[1]`98지침'!#REF!</definedName>
    <definedName name="ㅁ1" localSheetId="9">'[1]`98지침'!#REF!</definedName>
    <definedName name="ㅁ1">'[1]`98지침'!#REF!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6" l="1" a="1"/>
  <c r="A2" i="6" s="1"/>
  <c r="B36" i="15"/>
  <c r="B36" i="14"/>
  <c r="R17" i="14"/>
  <c r="S19" i="14" s="1"/>
  <c r="P17" i="14"/>
  <c r="Q22" i="14" s="1"/>
  <c r="N17" i="14"/>
  <c r="O25" i="14" s="1"/>
  <c r="L17" i="14"/>
  <c r="M36" i="14" s="1"/>
  <c r="J17" i="14"/>
  <c r="K33" i="14" s="1"/>
  <c r="B11" i="14" a="1"/>
  <c r="B11" i="14" s="1"/>
  <c r="B10" i="14"/>
  <c r="B9" i="14"/>
  <c r="E6" i="14"/>
  <c r="H5" i="14"/>
  <c r="B36" i="13"/>
  <c r="R17" i="13"/>
  <c r="S19" i="13" s="1"/>
  <c r="P17" i="13"/>
  <c r="Q19" i="13" s="1"/>
  <c r="N17" i="13"/>
  <c r="O25" i="13" s="1"/>
  <c r="L17" i="13"/>
  <c r="M36" i="13" s="1"/>
  <c r="J17" i="13"/>
  <c r="K33" i="13" s="1"/>
  <c r="B11" i="13" a="1"/>
  <c r="B11" i="13" s="1"/>
  <c r="B10" i="13"/>
  <c r="B9" i="13"/>
  <c r="E6" i="13"/>
  <c r="H5" i="13"/>
  <c r="B36" i="12"/>
  <c r="R17" i="12"/>
  <c r="S19" i="12" s="1"/>
  <c r="P17" i="12"/>
  <c r="Q22" i="12" s="1"/>
  <c r="N17" i="12"/>
  <c r="O25" i="12" s="1"/>
  <c r="L17" i="12"/>
  <c r="M36" i="12" s="1"/>
  <c r="J17" i="12"/>
  <c r="K33" i="12" s="1"/>
  <c r="B11" i="12" a="1"/>
  <c r="B11" i="12" s="1"/>
  <c r="B10" i="12"/>
  <c r="B9" i="12"/>
  <c r="E6" i="12"/>
  <c r="H5" i="12"/>
  <c r="B36" i="11"/>
  <c r="R17" i="11"/>
  <c r="S19" i="11" s="1"/>
  <c r="P17" i="11"/>
  <c r="Q19" i="11" s="1"/>
  <c r="N17" i="11"/>
  <c r="O25" i="11" s="1"/>
  <c r="L17" i="11"/>
  <c r="M36" i="11" s="1"/>
  <c r="J17" i="11"/>
  <c r="K33" i="11" s="1"/>
  <c r="B11" i="11" a="1"/>
  <c r="B11" i="11" s="1"/>
  <c r="B10" i="11"/>
  <c r="B9" i="11"/>
  <c r="E6" i="11"/>
  <c r="H5" i="11"/>
  <c r="B36" i="10"/>
  <c r="R17" i="10"/>
  <c r="S19" i="10" s="1"/>
  <c r="P17" i="10"/>
  <c r="Q19" i="10" s="1"/>
  <c r="N17" i="10"/>
  <c r="O25" i="10" s="1"/>
  <c r="L17" i="10"/>
  <c r="M36" i="10" s="1"/>
  <c r="J17" i="10"/>
  <c r="K33" i="10" s="1"/>
  <c r="B11" i="10" a="1"/>
  <c r="B11" i="10" s="1"/>
  <c r="B10" i="10"/>
  <c r="B9" i="10"/>
  <c r="E6" i="10"/>
  <c r="H5" i="10"/>
  <c r="B36" i="9"/>
  <c r="R17" i="9"/>
  <c r="S20" i="9" s="1"/>
  <c r="P17" i="9"/>
  <c r="Q22" i="9" s="1"/>
  <c r="N17" i="9"/>
  <c r="O25" i="9" s="1"/>
  <c r="L17" i="9"/>
  <c r="M36" i="9" s="1"/>
  <c r="J17" i="9"/>
  <c r="K33" i="9" s="1"/>
  <c r="B11" i="9" a="1"/>
  <c r="B11" i="9" s="1"/>
  <c r="B10" i="9"/>
  <c r="B9" i="9"/>
  <c r="E6" i="9"/>
  <c r="H5" i="9"/>
  <c r="B36" i="7"/>
  <c r="R17" i="7"/>
  <c r="P17" i="7"/>
  <c r="N17" i="7"/>
  <c r="L17" i="7"/>
  <c r="J17" i="7"/>
  <c r="B11" i="7" a="1"/>
  <c r="B11" i="7" s="1"/>
  <c r="B10" i="7"/>
  <c r="B9" i="7"/>
  <c r="E6" i="7"/>
  <c r="H5" i="7"/>
  <c r="J17" i="15" l="1"/>
  <c r="K33" i="15" s="1"/>
  <c r="L17" i="15"/>
  <c r="M36" i="15" s="1"/>
  <c r="N17" i="15"/>
  <c r="O25" i="15" s="1"/>
  <c r="B10" i="15"/>
  <c r="H5" i="15"/>
  <c r="P17" i="15"/>
  <c r="Q19" i="15" s="1"/>
  <c r="B11" i="15" a="1"/>
  <c r="B11" i="15" s="1"/>
  <c r="E6" i="15"/>
  <c r="R17" i="15"/>
  <c r="S19" i="15" s="1"/>
  <c r="B9" i="15"/>
  <c r="K25" i="15"/>
  <c r="K26" i="15"/>
  <c r="K22" i="15"/>
  <c r="K36" i="15"/>
  <c r="M26" i="14"/>
  <c r="O19" i="14"/>
  <c r="O20" i="14"/>
  <c r="K28" i="14"/>
  <c r="M20" i="14"/>
  <c r="O26" i="14"/>
  <c r="K21" i="14"/>
  <c r="K30" i="14"/>
  <c r="K22" i="14"/>
  <c r="M30" i="14"/>
  <c r="O23" i="14"/>
  <c r="K32" i="14"/>
  <c r="K24" i="14"/>
  <c r="K34" i="14"/>
  <c r="K25" i="14"/>
  <c r="M34" i="14"/>
  <c r="K20" i="14"/>
  <c r="Q21" i="14"/>
  <c r="M23" i="14"/>
  <c r="K26" i="14"/>
  <c r="M29" i="14"/>
  <c r="M33" i="14"/>
  <c r="K19" i="14"/>
  <c r="Q20" i="14"/>
  <c r="M22" i="14"/>
  <c r="M24" i="14"/>
  <c r="K27" i="14"/>
  <c r="K31" i="14"/>
  <c r="K35" i="14"/>
  <c r="M19" i="14"/>
  <c r="S20" i="14"/>
  <c r="O22" i="14"/>
  <c r="O24" i="14"/>
  <c r="M27" i="14"/>
  <c r="M31" i="14"/>
  <c r="M35" i="14"/>
  <c r="S21" i="14"/>
  <c r="Q19" i="14"/>
  <c r="M21" i="14"/>
  <c r="S22" i="14"/>
  <c r="M25" i="14"/>
  <c r="M28" i="14"/>
  <c r="M32" i="14"/>
  <c r="K36" i="14"/>
  <c r="O21" i="14"/>
  <c r="K23" i="14"/>
  <c r="K29" i="14"/>
  <c r="Q21" i="13"/>
  <c r="K25" i="13"/>
  <c r="M33" i="13"/>
  <c r="Q22" i="13"/>
  <c r="K26" i="13"/>
  <c r="M23" i="13"/>
  <c r="K28" i="13"/>
  <c r="K20" i="13"/>
  <c r="M29" i="13"/>
  <c r="K21" i="13"/>
  <c r="K32" i="13"/>
  <c r="M20" i="13"/>
  <c r="S21" i="13"/>
  <c r="O23" i="13"/>
  <c r="M26" i="13"/>
  <c r="K30" i="13"/>
  <c r="K34" i="13"/>
  <c r="O20" i="13"/>
  <c r="K22" i="13"/>
  <c r="K24" i="13"/>
  <c r="O26" i="13"/>
  <c r="M30" i="13"/>
  <c r="M34" i="13"/>
  <c r="K19" i="13"/>
  <c r="Q20" i="13"/>
  <c r="M22" i="13"/>
  <c r="M24" i="13"/>
  <c r="K27" i="13"/>
  <c r="K31" i="13"/>
  <c r="K35" i="13"/>
  <c r="M19" i="13"/>
  <c r="S20" i="13"/>
  <c r="O22" i="13"/>
  <c r="O24" i="13"/>
  <c r="M27" i="13"/>
  <c r="M31" i="13"/>
  <c r="M35" i="13"/>
  <c r="O19" i="13"/>
  <c r="M21" i="13"/>
  <c r="S22" i="13"/>
  <c r="M25" i="13"/>
  <c r="M28" i="13"/>
  <c r="M32" i="13"/>
  <c r="K36" i="13"/>
  <c r="O21" i="13"/>
  <c r="K23" i="13"/>
  <c r="K29" i="13"/>
  <c r="O26" i="11"/>
  <c r="O20" i="12"/>
  <c r="S21" i="12"/>
  <c r="O26" i="12"/>
  <c r="O23" i="12"/>
  <c r="K32" i="12"/>
  <c r="K21" i="12"/>
  <c r="K28" i="12"/>
  <c r="K22" i="12"/>
  <c r="M30" i="12"/>
  <c r="K24" i="12"/>
  <c r="K34" i="12"/>
  <c r="O19" i="12"/>
  <c r="K25" i="12"/>
  <c r="M34" i="12"/>
  <c r="K30" i="12"/>
  <c r="M20" i="12"/>
  <c r="M26" i="12"/>
  <c r="K20" i="12"/>
  <c r="Q21" i="12"/>
  <c r="M23" i="12"/>
  <c r="K26" i="12"/>
  <c r="M29" i="12"/>
  <c r="M33" i="12"/>
  <c r="K19" i="12"/>
  <c r="Q20" i="12"/>
  <c r="M22" i="12"/>
  <c r="M24" i="12"/>
  <c r="K27" i="12"/>
  <c r="K31" i="12"/>
  <c r="K35" i="12"/>
  <c r="M19" i="12"/>
  <c r="S20" i="12"/>
  <c r="O22" i="12"/>
  <c r="O24" i="12"/>
  <c r="M27" i="12"/>
  <c r="M31" i="12"/>
  <c r="M35" i="12"/>
  <c r="Q19" i="12"/>
  <c r="M21" i="12"/>
  <c r="S22" i="12"/>
  <c r="M25" i="12"/>
  <c r="M28" i="12"/>
  <c r="M32" i="12"/>
  <c r="K36" i="12"/>
  <c r="O21" i="12"/>
  <c r="K23" i="12"/>
  <c r="K29" i="12"/>
  <c r="Q22" i="11"/>
  <c r="M23" i="11"/>
  <c r="K25" i="11"/>
  <c r="K26" i="11"/>
  <c r="K28" i="11"/>
  <c r="K20" i="11"/>
  <c r="M29" i="11"/>
  <c r="K21" i="11"/>
  <c r="K32" i="11"/>
  <c r="Q21" i="11"/>
  <c r="M33" i="11"/>
  <c r="M20" i="11"/>
  <c r="S21" i="11"/>
  <c r="O23" i="11"/>
  <c r="M26" i="11"/>
  <c r="K30" i="11"/>
  <c r="K34" i="11"/>
  <c r="O20" i="11"/>
  <c r="K22" i="11"/>
  <c r="K24" i="11"/>
  <c r="M30" i="11"/>
  <c r="M34" i="11"/>
  <c r="K19" i="11"/>
  <c r="Q20" i="11"/>
  <c r="M22" i="11"/>
  <c r="M24" i="11"/>
  <c r="K27" i="11"/>
  <c r="K31" i="11"/>
  <c r="K35" i="11"/>
  <c r="M19" i="11"/>
  <c r="S20" i="11"/>
  <c r="O22" i="11"/>
  <c r="O24" i="11"/>
  <c r="M27" i="11"/>
  <c r="M31" i="11"/>
  <c r="M35" i="11"/>
  <c r="M21" i="11"/>
  <c r="S22" i="11"/>
  <c r="M25" i="11"/>
  <c r="M28" i="11"/>
  <c r="M32" i="11"/>
  <c r="K36" i="11"/>
  <c r="O19" i="11"/>
  <c r="O21" i="11"/>
  <c r="K23" i="11"/>
  <c r="K29" i="11"/>
  <c r="O19" i="10"/>
  <c r="K21" i="10"/>
  <c r="Q22" i="10"/>
  <c r="K25" i="10"/>
  <c r="K28" i="10"/>
  <c r="K32" i="10"/>
  <c r="K20" i="10"/>
  <c r="Q21" i="10"/>
  <c r="M23" i="10"/>
  <c r="K26" i="10"/>
  <c r="M29" i="10"/>
  <c r="M33" i="10"/>
  <c r="M20" i="10"/>
  <c r="S21" i="10"/>
  <c r="O23" i="10"/>
  <c r="M26" i="10"/>
  <c r="K30" i="10"/>
  <c r="K34" i="10"/>
  <c r="O20" i="10"/>
  <c r="K22" i="10"/>
  <c r="K24" i="10"/>
  <c r="O26" i="10"/>
  <c r="M30" i="10"/>
  <c r="M34" i="10"/>
  <c r="K19" i="10"/>
  <c r="Q20" i="10"/>
  <c r="M22" i="10"/>
  <c r="M24" i="10"/>
  <c r="K27" i="10"/>
  <c r="K31" i="10"/>
  <c r="K35" i="10"/>
  <c r="M19" i="10"/>
  <c r="S20" i="10"/>
  <c r="O22" i="10"/>
  <c r="O24" i="10"/>
  <c r="M27" i="10"/>
  <c r="M31" i="10"/>
  <c r="M35" i="10"/>
  <c r="M21" i="10"/>
  <c r="S22" i="10"/>
  <c r="M25" i="10"/>
  <c r="M28" i="10"/>
  <c r="M32" i="10"/>
  <c r="K36" i="10"/>
  <c r="O21" i="10"/>
  <c r="K23" i="10"/>
  <c r="K29" i="10"/>
  <c r="M20" i="9"/>
  <c r="M22" i="9"/>
  <c r="M29" i="9"/>
  <c r="M30" i="9"/>
  <c r="M25" i="9"/>
  <c r="M33" i="9"/>
  <c r="M26" i="9"/>
  <c r="M34" i="9"/>
  <c r="M23" i="9"/>
  <c r="M31" i="9"/>
  <c r="M24" i="9"/>
  <c r="M32" i="9"/>
  <c r="M21" i="9"/>
  <c r="M27" i="9"/>
  <c r="M35" i="9"/>
  <c r="M28" i="9"/>
  <c r="O21" i="9"/>
  <c r="O23" i="9"/>
  <c r="O26" i="9"/>
  <c r="O19" i="9"/>
  <c r="O20" i="9"/>
  <c r="M19" i="9"/>
  <c r="K21" i="9"/>
  <c r="S22" i="9"/>
  <c r="K26" i="9"/>
  <c r="Q19" i="9"/>
  <c r="S19" i="9"/>
  <c r="Q21" i="9"/>
  <c r="K24" i="9"/>
  <c r="K27" i="9"/>
  <c r="K31" i="9"/>
  <c r="K35" i="9"/>
  <c r="K20" i="9"/>
  <c r="S21" i="9"/>
  <c r="O24" i="9"/>
  <c r="Q20" i="9"/>
  <c r="O22" i="9"/>
  <c r="K36" i="9"/>
  <c r="K23" i="9"/>
  <c r="K30" i="9"/>
  <c r="K34" i="9"/>
  <c r="K22" i="9"/>
  <c r="K25" i="9"/>
  <c r="K28" i="9"/>
  <c r="K32" i="9"/>
  <c r="K19" i="9"/>
  <c r="K29" i="9"/>
  <c r="K33" i="7"/>
  <c r="S20" i="7"/>
  <c r="Q22" i="7"/>
  <c r="O25" i="7"/>
  <c r="M36" i="7"/>
  <c r="S20" i="15" l="1"/>
  <c r="S22" i="15"/>
  <c r="K20" i="15"/>
  <c r="K35" i="15"/>
  <c r="K34" i="15"/>
  <c r="K31" i="15"/>
  <c r="K21" i="15"/>
  <c r="K27" i="15"/>
  <c r="K32" i="15"/>
  <c r="K29" i="15"/>
  <c r="K19" i="15"/>
  <c r="K30" i="15"/>
  <c r="K23" i="15"/>
  <c r="K24" i="15"/>
  <c r="K28" i="15"/>
  <c r="O26" i="15"/>
  <c r="O24" i="15"/>
  <c r="O20" i="15"/>
  <c r="O23" i="15"/>
  <c r="O22" i="15"/>
  <c r="O19" i="15"/>
  <c r="O21" i="15"/>
  <c r="Q22" i="15"/>
  <c r="S21" i="15"/>
  <c r="M34" i="15"/>
  <c r="M20" i="15"/>
  <c r="M21" i="15"/>
  <c r="M19" i="15"/>
  <c r="M30" i="15"/>
  <c r="M23" i="15"/>
  <c r="M27" i="15"/>
  <c r="Q21" i="15"/>
  <c r="M35" i="15"/>
  <c r="M31" i="15"/>
  <c r="M26" i="15"/>
  <c r="M32" i="15"/>
  <c r="M24" i="15"/>
  <c r="M28" i="15"/>
  <c r="M22" i="15"/>
  <c r="M33" i="15"/>
  <c r="M25" i="15"/>
  <c r="M29" i="15"/>
  <c r="Q20" i="15"/>
  <c r="S19" i="7"/>
  <c r="O21" i="7"/>
  <c r="Q21" i="7"/>
  <c r="S22" i="7"/>
  <c r="O23" i="7"/>
  <c r="O26" i="7"/>
  <c r="Q19" i="7"/>
  <c r="M19" i="7"/>
  <c r="K21" i="7"/>
  <c r="M33" i="7"/>
  <c r="K26" i="7"/>
  <c r="M29" i="7"/>
  <c r="O19" i="7"/>
  <c r="M21" i="7"/>
  <c r="K23" i="7"/>
  <c r="M26" i="7"/>
  <c r="K30" i="7"/>
  <c r="K34" i="7"/>
  <c r="M30" i="7"/>
  <c r="M34" i="7"/>
  <c r="K35" i="7"/>
  <c r="K24" i="7"/>
  <c r="K27" i="7"/>
  <c r="K31" i="7"/>
  <c r="K20" i="7"/>
  <c r="S21" i="7"/>
  <c r="O24" i="7"/>
  <c r="M27" i="7"/>
  <c r="M31" i="7"/>
  <c r="M35" i="7"/>
  <c r="O20" i="7"/>
  <c r="K22" i="7"/>
  <c r="K25" i="7"/>
  <c r="K28" i="7"/>
  <c r="K32" i="7"/>
  <c r="Q20" i="7"/>
  <c r="O22" i="7"/>
  <c r="M25" i="7"/>
  <c r="M28" i="7"/>
  <c r="M32" i="7"/>
  <c r="K36" i="7"/>
  <c r="K19" i="7"/>
  <c r="K29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3B98CA2-8E7C-4D92-8476-5721A7D5D72B}" keepAlive="1" name="쿼리 - near_miss_excel_view (2)" description="통합 문서의 'near_miss_excel_view (2)' 쿼리에 대한 연결입니다." type="5" refreshedVersion="8" background="1" saveData="1">
    <dbPr connection="Provider=Microsoft.Mashup.OleDb.1;Data Source=$Workbook$;Location=&quot;near_miss_excel_view (2)&quot;;Extended Properties=&quot;&quot;" command="SELECT * FROM [near_miss_excel_view (2)]"/>
  </connection>
  <connection id="2" xr16:uid="{B3BA96ED-33B8-4BE9-905F-DA26D4D10ADD}" keepAlive="1" name="쿼리 - near_miss_reports" description="통합 문서의 'near_miss_reports' 쿼리에 대한 연결입니다." type="5" refreshedVersion="8" background="1" saveData="1">
    <dbPr connection="Provider=Microsoft.Mashup.OleDb.1;Data Source=$Workbook$;Location=near_miss_reports;Extended Properties=&quot;&quot;" command="SELECT * FROM [near_miss_report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<sst xmlns="http://schemas.openxmlformats.org/spreadsheetml/2006/main" count="1484" uniqueCount="460">
  <si>
    <t>사고유형</t>
  </si>
  <si>
    <t>불안전한 상태</t>
  </si>
  <si>
    <t>불안전한 행동</t>
  </si>
  <si>
    <t>이후민</t>
  </si>
  <si>
    <t>우수 맨홀 뚜껑 밀림으로 전도</t>
  </si>
  <si>
    <t>4P34 전기실 앞</t>
  </si>
  <si>
    <t>우수 맨홀 뚜껑이 고정되지 않아 밟았을 때 맨홀이 움직여 미끄러짐</t>
  </si>
  <si>
    <t>전도</t>
  </si>
  <si>
    <t>개구부</t>
  </si>
  <si>
    <t>기타</t>
  </si>
  <si>
    <t>위험을 보지 않음</t>
  </si>
  <si>
    <t>서두름</t>
  </si>
  <si>
    <t>맨홀 주위에 접근 금지 표시를 설치하여 사고 재발생을 예방함</t>
  </si>
  <si>
    <t>김민규</t>
  </si>
  <si>
    <t>케이블 포설 중 요통발생</t>
  </si>
  <si>
    <t>풍력선별기</t>
  </si>
  <si>
    <t>케이블 포설 중 협소공간에서 불안정한 자세로 인해 요통발생</t>
  </si>
  <si>
    <t>요통</t>
  </si>
  <si>
    <t>통로</t>
  </si>
  <si>
    <t>불안전한 자세</t>
  </si>
  <si>
    <t>몸의 균형이 불안정해짐</t>
  </si>
  <si>
    <t>충분한 작업 공간을 확보한 후 작업 중간에 쉬는 시간을 가짐</t>
  </si>
  <si>
    <t>김남균</t>
  </si>
  <si>
    <t>사다리에 손가락 끼임</t>
  </si>
  <si>
    <t>사다리를 접다가 손가락 끼임</t>
  </si>
  <si>
    <t>협착</t>
  </si>
  <si>
    <t>도구 및 장비</t>
  </si>
  <si>
    <t>도구의 잘못 사용</t>
  </si>
  <si>
    <t>위험을 생각하지 않음</t>
  </si>
  <si>
    <t>사다리를 접기 전에 항상 주의하도록 교육</t>
  </si>
  <si>
    <t>서용주</t>
  </si>
  <si>
    <t>한라 구내 4호기</t>
  </si>
  <si>
    <t>전도</t>
    <phoneticPr fontId="1" type="noConversion"/>
  </si>
  <si>
    <t>설비</t>
    <phoneticPr fontId="1" type="noConversion"/>
  </si>
  <si>
    <t>기타</t>
    <phoneticPr fontId="1" type="noConversion"/>
  </si>
  <si>
    <t>위험경로에 위치함</t>
    <phoneticPr fontId="1" type="noConversion"/>
  </si>
  <si>
    <t>서두름</t>
    <phoneticPr fontId="1" type="noConversion"/>
  </si>
  <si>
    <t>김도담</t>
  </si>
  <si>
    <t>작업중 위에서 떨어지는 낙화물</t>
  </si>
  <si>
    <t>2호 kiln inlet 2층</t>
  </si>
  <si>
    <t>상층 작업자 용접으로 인한 용접 불티가 떨어지는 위험</t>
  </si>
  <si>
    <t>화상/동상</t>
  </si>
  <si>
    <t>낙석</t>
  </si>
  <si>
    <t>보호구</t>
  </si>
  <si>
    <t>보호구 착용과 용접이 끝난후 안전하게 작업</t>
  </si>
  <si>
    <t>정원석</t>
  </si>
  <si>
    <t>전기실 악세스플로어가 내려앉으면서 발이빠짐</t>
  </si>
  <si>
    <t>풍력선별기 2P7 전기실</t>
  </si>
  <si>
    <t>케이블 포설을 위해 악세스플로어를 열어놨고
지지대가 제대로 받쳐주지 않은 곳에 발을 딛다가 밑으로 발이 빠져 다칠뻔 함</t>
  </si>
  <si>
    <t>작업발판</t>
  </si>
  <si>
    <t>평소 습관</t>
  </si>
  <si>
    <t>지지대 재설치 후 다른 작업 인원에게도 위험하다고 알림</t>
  </si>
  <si>
    <t>삽입 된 셋트앙카를 제거 후 안전한지 확인하고 이동함.</t>
  </si>
  <si>
    <t>야간 작업시 시야확보에 따른 찰과상</t>
  </si>
  <si>
    <t>2호 KILM INLET</t>
  </si>
  <si>
    <t>야간 근무 시 2호 INLET 주변 전등이 안 들어와
이동하다 넘어짐</t>
  </si>
  <si>
    <t>절단/ 찰과상</t>
  </si>
  <si>
    <t>전기</t>
  </si>
  <si>
    <t>위험경로에 위치함</t>
  </si>
  <si>
    <t>생산근무자에게 야간 작업등을 항상 켜 놓으라 전달</t>
  </si>
  <si>
    <t>감전위험</t>
  </si>
  <si>
    <t>2호 idf</t>
  </si>
  <si>
    <t>감전</t>
  </si>
  <si>
    <t>자만심</t>
  </si>
  <si>
    <t>차단기를 내려서 전기차단후 잔류 에너지 확인후 pump 교체</t>
  </si>
  <si>
    <t>윤순형</t>
  </si>
  <si>
    <t>고소차량 탑승 전 안전난간 설치 중 손가락이 끼일 뻔 함</t>
  </si>
  <si>
    <t>광산  초소</t>
  </si>
  <si>
    <t>사다리차 탑승 전 안전난간을 조립하던 과정에 난간판넬 접힘부에 손가락이 끼일 뻔함
차례대로 접어야 하는데 한꺼번에 접으려다 손가락이 접힘부에 있었는지 망각함.</t>
  </si>
  <si>
    <t>주변동료에게 알림.</t>
  </si>
  <si>
    <t>윤택천</t>
  </si>
  <si>
    <t>바닥에 있는 설비배관에 발이 걸려 넘어질 뻔함</t>
  </si>
  <si>
    <t>Roll Press Hydro Pump Room</t>
  </si>
  <si>
    <t>케이블 포설을 마지고 이동 중 설비 배관에 발이 걸려 넘어질 뻔 함</t>
  </si>
  <si>
    <t>주변 동료에게 공유함.</t>
  </si>
  <si>
    <t>TR 운반 중 바닥이 미끄러워 넘어질 뻔 함</t>
  </si>
  <si>
    <t>항만 알루미나 전기실</t>
  </si>
  <si>
    <t>교체할 TR을 지정된 위치로 밀어서 이동 중 바닥의 물기로 인해 미끄러질 뻔 함. / 이동동선의 물기를 확이하지 않음.</t>
  </si>
  <si>
    <t>조명/ 환경</t>
  </si>
  <si>
    <t>피로</t>
  </si>
  <si>
    <t>엄기준</t>
  </si>
  <si>
    <t>크레인 케이블 수리하는 중 상부 구조물에 머리를 부딪힐 뻔함</t>
  </si>
  <si>
    <t>항만공작실</t>
  </si>
  <si>
    <t>좁은공간에서 작업을 마치고 일어나는 순간 상부 배관에 부딪힐 뻔함/ 상부에 배관이 지나가고 있다는 것을 일어나면서  알아챔.</t>
  </si>
  <si>
    <t>충돌</t>
  </si>
  <si>
    <t>좁은 공간에서 몸을 움직일 때는 항상 이동하려는 곳을 먼저 육안으로 확인 후 이동할 것을 주변동료와 공유함.</t>
  </si>
  <si>
    <t>케이블을 무리하게 당기다가 근육통 발생함</t>
  </si>
  <si>
    <t>항만 북방파제</t>
  </si>
  <si>
    <t>기존 매립 관에 케이블을 입선과정에서 무리한 힘을 사용하여 근육통이 발생/ 매립관의 굴곡개소가 많고 밀어 넣는 작업자와 박자가 잘 안맞아서 당기는 힘에 부하가 생김.</t>
  </si>
  <si>
    <t>제3자</t>
  </si>
  <si>
    <t>소통 미비</t>
  </si>
  <si>
    <t>스트레스</t>
  </si>
  <si>
    <t>구령을 넣어서 박자를 맞추도록 작업자들과 공유함.</t>
  </si>
  <si>
    <t>철판 팁에 찰과상 발생</t>
  </si>
  <si>
    <t>현대기전 제작장</t>
  </si>
  <si>
    <t>스텐리스 판넬에 홀 작업 후 볼트체결 과정에서 홀 가공 후 잔여 팁에 손가락 끝 베임</t>
  </si>
  <si>
    <t>홀 작업 후 면에 팁이 남아있는지 확인하도록 동료들과 공유함</t>
  </si>
  <si>
    <t>바닥이 미끄러워 넘어질 뻔 함</t>
  </si>
  <si>
    <t>광산현대화 갱 입구 TR</t>
  </si>
  <si>
    <t>작업을 마치고 내려오는 도중 바닥의 흙이 미끄러워 넘어질 뻔 함</t>
  </si>
  <si>
    <t>계단</t>
  </si>
  <si>
    <t>임시 분전함 위치로 가기 전 바닥을 확인하고 안전하게 이동하도록 주변 동료들과 공유함</t>
  </si>
  <si>
    <t>케이블 포설 중 손이 미끄러워 넘어질뻔 함</t>
  </si>
  <si>
    <t>광산현대화 터널 내</t>
  </si>
  <si>
    <t>광산 현대화 터널 내 임시동력 설치작업을 위하여 케이블 포설작업을 하던 중 당기는 시점에 손에 습기가 있어 미끄러지면서 몸의 균형이 흔들렸음.</t>
  </si>
  <si>
    <t>케이블이 손에서 미끄러지더라도 넘어지지 않도록 균형있는 자세로 작업하도록 주변 동료들에게 전파함.</t>
  </si>
  <si>
    <t>용접된 제품을 잡다가 화상 입을 뻔함.</t>
  </si>
  <si>
    <t>옥계 사무실 제작장</t>
  </si>
  <si>
    <t>케이블 트레이 베이스를 도색하려고 철물을 잡다가 뜨거워서 손에서 놓침.</t>
  </si>
  <si>
    <t>사전정보 없이 용접 제작물에 손을 대지 않도록 하고 만일 작업을 위해 접촉을 해야한다면, 용접장갑을 반드시 착용하도록 동료들에게 전파.</t>
  </si>
  <si>
    <t>박재민</t>
  </si>
  <si>
    <t>4호 인넷트 프로브 계단 난간</t>
  </si>
  <si>
    <t>야간작업시 주변 장애물 위치파악을 못했습니다</t>
  </si>
  <si>
    <t>항상주변장애물 위치를 확인하고 
안전하게 작업하겠습니다</t>
  </si>
  <si>
    <t>장진혁</t>
  </si>
  <si>
    <t>왼손으로 볼트를 풀다가 근육통 발생</t>
  </si>
  <si>
    <t>왼손에 몽키 스패너를 잡고 냉각수 호스와 연결된 볼트를 푸는 과정에서 갑작스런 근육통 발생/볼트를 빨리 풀기 위해 손에 무리하게 힘을 준 것이 원인</t>
  </si>
  <si>
    <t>분류 불능</t>
  </si>
  <si>
    <t>일이 안 풀려도 서두르지 않는 차분한 마음가짐 가지기, 도구가 안 좋을 때는 다른 도구로 교체하여 사용하기</t>
  </si>
  <si>
    <t>계단 이용시 미끌림</t>
  </si>
  <si>
    <t>2k</t>
  </si>
  <si>
    <t>안전난간</t>
  </si>
  <si>
    <t>난간 손잡이를 잡기전에 장갑 물기 제거후 몸을 지탱하여 이동함</t>
  </si>
  <si>
    <t>전선관 절단부 거스러미에 손가락 베임</t>
  </si>
  <si>
    <t>옥계사무실 제작장</t>
  </si>
  <si>
    <t>절단된 파이프를 옮기다가 파이프 끝 절단부에 손가락 베임/ 파이프 절단 시 끝단부 연마처리를 안함.</t>
  </si>
  <si>
    <t>파이프 절단 시 절단면에 거스러미(bur)가 없도록 연마처리 요청함.</t>
  </si>
  <si>
    <t>휘어진 계단 발판을 딛다가 넘어질뻔 함</t>
  </si>
  <si>
    <t>5P2 전기실 옥외계단</t>
  </si>
  <si>
    <t>계단 중간부분에 발판이 휘어진 곳을 밟다가 넘어질 뻔함. / 계단을 잘 살펴보지 않음</t>
  </si>
  <si>
    <t>계단을 오를 때 손잡이 잡기를 습관화 하도록 주위 동료들과 공유함.</t>
  </si>
  <si>
    <t>볼트 채결시 장갑 끼임</t>
  </si>
  <si>
    <t>3호 kiln inlet</t>
  </si>
  <si>
    <t>작업중 볼트 채결시 안전 장갑이 채결부위에 끼임</t>
  </si>
  <si>
    <t>작업장갑 사이즈가 맞는걸로 대처</t>
  </si>
  <si>
    <t>목재 파레트를 운반 중 나무가시에 찔림</t>
  </si>
  <si>
    <t>현대기전 창고</t>
  </si>
  <si>
    <t>빈 파레트를 동료와 함께 운반 중 파레트 표면에 있는 나무가시에 손가락이 찔림  / 장갑을 끼고 작업을 하였으나 가시 끝부분이 날카로워 장갑이 뚫려 찔리게 됨</t>
  </si>
  <si>
    <t>목재 파레트 운반 시 잡는 부분이 가시가 돌출되어있는지 확인 후 잡도록 TBM 시 주변 동료들과 공유함</t>
  </si>
  <si>
    <t>소준희</t>
  </si>
  <si>
    <t>자재정리정돈중 저선관 발고 미끄러질번함</t>
  </si>
  <si>
    <t>옥계사무실 작업장앞</t>
  </si>
  <si>
    <t>정리정돈</t>
  </si>
  <si>
    <t>TBM 시 주변동료들에게 정리정돈요청</t>
  </si>
  <si>
    <t>이정민</t>
  </si>
  <si>
    <t>젠어스(접지몰탈) 하차 중 허리 통증 발생</t>
  </si>
  <si>
    <t>옥계사무실 창고</t>
  </si>
  <si>
    <t>작업을 마치고 사무실로 복귀하여 젠어스(접지몰탈) 포대(25kg)를 하차하던 중 허리에 통증을 느낌./ 갑자기 무리한 힘을 사용.</t>
  </si>
  <si>
    <t>스프레이 파스로 근육 이완 후 동료들과 작업 전 스트레칭의 중요성을 공유함</t>
  </si>
  <si>
    <t>이동 중 미끄러져 넘어질 뻔함</t>
  </si>
  <si>
    <t>221 BCF 통로</t>
  </si>
  <si>
    <t>통로에서 전등 누전 점검차 이동 중 수분이 포함된 분진을 밟고 미끄러져 넘어질 뻔함./ 원인: 분진이 수분과 섞여 누적됨.</t>
  </si>
  <si>
    <t>이동 중 에어라인에 머리가 부딪힘</t>
  </si>
  <si>
    <t>#3호 SILO 592 BF2 앞 이동통로</t>
  </si>
  <si>
    <t>이동 중 이동통로 상부에 에어배관에 머리가 닿음</t>
  </si>
  <si>
    <t>동료들과 위험 사항을 공유함. 배관에 경시테이프 등을 부착하는 것을 제안함.</t>
  </si>
  <si>
    <t>안전난간 미고정으로 잡다가 넘어질 뻔함.</t>
  </si>
  <si>
    <t>트레이 교체작업을 위해 핸드레일을 잡고 이동 중 핸드레일이 움직여서 넘어질뻔함. / 핸드레일 하부 고정용접이 떨어짐.</t>
  </si>
  <si>
    <t>몸의 균형이 불안정해짐</t>
    <phoneticPr fontId="1" type="noConversion"/>
  </si>
  <si>
    <t>이동중 장애물에 걸려 넘어짐</t>
  </si>
  <si>
    <t>4호 kiln inlet</t>
  </si>
  <si>
    <t>작업을 위해 이동중 바닥에 널 부러져 있는 호수를 밟고 넘어짐</t>
  </si>
  <si>
    <t>다른 작업자들이 바닥에 버린 호수를 주워서 정리했습니다</t>
  </si>
  <si>
    <t>프로브 냉각수 교체하다가 손등화상입음</t>
  </si>
  <si>
    <t>냉각수를 틀고 작업을 해야하는데 
너무 급하게 작업하느라 신경 못쓰고 
작업을 해서 화상을 입게되었습니다</t>
  </si>
  <si>
    <t>필터를 들고 가다가 에어호스에 걸려 넘어질 뻔함</t>
  </si>
  <si>
    <t>2k idf</t>
  </si>
  <si>
    <t>2호 kiln의 2호 idf 펌프 및 필터 청소 완료 후 필터를 다시 장착하기 위해 길을 가던 중 정리되지 않은 에어 호스에 걸려 넘어질 뻔함/바닥에 정리되지 않은 에어 호스가 근로자가 걷는 동선상에 위치하였고 근로자는 그것을 인지하지 못한 상태로 걸어갔던 것으로 보임</t>
  </si>
  <si>
    <t>통로</t>
    <phoneticPr fontId="1" type="noConversion"/>
  </si>
  <si>
    <t>위험을 보지 않음</t>
    <phoneticPr fontId="1" type="noConversion"/>
  </si>
  <si>
    <t>전기작업을 위해 천정의 텍스를 열다가 벽돌에 맞음</t>
  </si>
  <si>
    <t>본관 런닝센터</t>
  </si>
  <si>
    <t>전기공사 중 천정으로 케이블 포설을 위해 텍스를 열다가 텍스위에 적치된 벽돌이 떨어져 맞음. / 천정 위에 벽돌을 방치함.</t>
  </si>
  <si>
    <t>적치된 벽돌을 제거하였습니다.</t>
  </si>
  <si>
    <t>구조물에 안전모 부딪힘</t>
  </si>
  <si>
    <t>트레이 거치대 작업을 위해 컨베이어 하부로 이동 중 안전모가 구조물에 부딪힘 / 부주의</t>
  </si>
  <si>
    <t>TBM 위험성 평가때 동료들과 공유</t>
  </si>
  <si>
    <t>한윤근</t>
  </si>
  <si>
    <t>리프트에서 내릴때 작업발판 접지름</t>
  </si>
  <si>
    <t>4k 리프트</t>
  </si>
  <si>
    <t>리프트와 작업발판 사이 단차로 생긴 사고</t>
  </si>
  <si>
    <t>발목보호되는 안전화 착용 및 내릴때 한번더 확인후 이동하겠습니다.</t>
  </si>
  <si>
    <t>미끄러짐</t>
  </si>
  <si>
    <t>2k inlet</t>
  </si>
  <si>
    <t>이동중 살얼음에 미끄러짐</t>
  </si>
  <si>
    <t>폭설/ 결빙</t>
  </si>
  <si>
    <t>이동시 바닥을 확인하여 이동하였습니다</t>
  </si>
  <si>
    <t>정재호</t>
  </si>
  <si>
    <t>야간에 이동시 미끄러짐</t>
  </si>
  <si>
    <t>4호 Kiln</t>
  </si>
  <si>
    <t>새벽시간 극심한 한파중 이동간 바닥에 물기가 얼어있는지 모르고 미끄러짐</t>
  </si>
  <si>
    <t>자연재해</t>
  </si>
  <si>
    <t>앞으로 야간에 이동시 헤드랜턴을 항시 켜고 바닥확인을 철저히 하겠습니다</t>
  </si>
  <si>
    <t>계단 이동중 미끄러짐</t>
  </si>
  <si>
    <t>2호 프로브 계단</t>
  </si>
  <si>
    <t>계단쪽에 물이 있어서 
미끄러 잡아질뻔했습니다 
날씨가 추운탓도 있고 
계단이 얼어서 미끄럽습니다</t>
  </si>
  <si>
    <t>계단 미끄러짐</t>
  </si>
  <si>
    <t>3호 2층 전기실 올라가는 계단</t>
  </si>
  <si>
    <t>2층 전기실로 가는 계단에서 1층으로 내려가던 중 계단에서 미끄러짐 / 계단에 칸이 작고 오래되어 미끄러움</t>
  </si>
  <si>
    <t>낙하물</t>
  </si>
  <si>
    <t>광산 320갱</t>
  </si>
  <si>
    <t>광산 320갱 트레이 설치 중 떨어져있던 볼트나 너트류 다리에 걸려 밑으로 떨어짐</t>
  </si>
  <si>
    <t>낙하</t>
  </si>
  <si>
    <t>주변에 떨어져있던 낙하물들을 청소 밑 정리 조치 하였습니다</t>
  </si>
  <si>
    <t>낙하물에 의한 위험</t>
  </si>
  <si>
    <t>2호 klin</t>
  </si>
  <si>
    <t>위에서 떨어진 낙화물에 다칠뻔함</t>
  </si>
  <si>
    <t>항상 다닐때 작업장 주의를 살피고 있습니다</t>
  </si>
  <si>
    <t>이젝터 부품 해체 중 손이 주변 구조물에 부딪침</t>
  </si>
  <si>
    <t>3호 kiln inlet에서 이젝터 부품을 스패너로 해체하던 중 주변 구조물에 손이 부딪침/작업 중 동선 파악을 제대로 못함</t>
  </si>
  <si>
    <t>주변 동선 파악 후 작업</t>
  </si>
  <si>
    <t>계단 이동중 상부구조물 충돌</t>
  </si>
  <si>
    <t>4호기 2층</t>
  </si>
  <si>
    <t>inlet probe 작업하러 계단 오르던중 상부 구조물 충돌</t>
  </si>
  <si>
    <t>야간 작업중 계단 오를시 헤드라이트로 구조물 미리식별후 안전하게 이동하겠습니다.</t>
  </si>
  <si>
    <t>고드름 낙하</t>
  </si>
  <si>
    <t>320갱 111-BC3구간</t>
  </si>
  <si>
    <t>이동 중 상부 고드름이 낙하하여 맞을 뻔함. / 일부 미제거 된 고드름</t>
  </si>
  <si>
    <t>주의 깊게 관찰하며 고드름 제거 하겠습니다.</t>
  </si>
  <si>
    <t>야간작업시 계단올라갔을때 넘어짐</t>
  </si>
  <si>
    <t>야간에현장자체가 어두컴컴하고 
아무리 후레쉬를 켜도 시야가 뿌옇고 
먼지 쌓인 장소에서 작업을 하다보니 
시야가 앞을 가려서 조심해서 올라간다는 
생각을 하고 올라갔는데 넘어졌습니다</t>
  </si>
  <si>
    <t>작업을 하기전에 항상 위험요소물이 있는지 
확인하고 계단올라갔을시 조심해서 
작업을 하겠습니다</t>
  </si>
  <si>
    <t>공구 사용하다 찰과상</t>
  </si>
  <si>
    <t>4k kiln inlet</t>
  </si>
  <si>
    <t>볼트 체결중 힘을주고 몽키 돌리다 풀리면서
 손가락 다칠뻔함</t>
  </si>
  <si>
    <t>헐거워진 몽키에 기름칠을 해도 위험해보여
 몽키를 구입해서 사용함</t>
  </si>
  <si>
    <t>프로브 조립시 수공구에 의한 찍힘</t>
  </si>
  <si>
    <t>협력업체 작업장</t>
  </si>
  <si>
    <t>프로브 조립 중 스패너 조임 작업도중 체결을 확실히 못하고 돌리는 사고가 발생</t>
  </si>
  <si>
    <t>앞으로 프로브 조립 및 스패너 사용 작업시 체결유무 확실히 확인 후 작업 하겠습니다</t>
  </si>
  <si>
    <t>한지민</t>
  </si>
  <si>
    <t>320갱 전기실 부근</t>
  </si>
  <si>
    <t>감전</t>
    <phoneticPr fontId="1" type="noConversion"/>
  </si>
  <si>
    <t>소통 미비</t>
    <phoneticPr fontId="1" type="noConversion"/>
  </si>
  <si>
    <t>위험을 생각하지 않음</t>
    <phoneticPr fontId="1" type="noConversion"/>
  </si>
  <si>
    <t>440V 감전사고</t>
  </si>
  <si>
    <t>광산현대화 전기실</t>
  </si>
  <si>
    <t>440V 케이블 결선 중 파워가 죽지 않았는데 결선을 하려고하여 쇼트사고</t>
  </si>
  <si>
    <t>서두르지 않고 절연장갑을 착용 후 결선작업 진행</t>
  </si>
  <si>
    <t>평소 습관</t>
    <phoneticPr fontId="1" type="noConversion"/>
  </si>
  <si>
    <t>도구 및 장비</t>
    <phoneticPr fontId="1" type="noConversion"/>
  </si>
  <si>
    <t>공구 사용하다 칠과상</t>
  </si>
  <si>
    <t>파이브렌치를 사용하다 헛돌아 넘어짐</t>
  </si>
  <si>
    <t>4호 inlet 이젝터 청소 작업 중 이젝터 나사가 바닥에 떨어짐, 나사를 찾으려다 바닥에 넘어질뻔함</t>
  </si>
  <si>
    <t>주변 동선 확인 후 작업</t>
  </si>
  <si>
    <t>4호 프로브 계단실</t>
  </si>
  <si>
    <t>서두르지 않고 작업을 하겠습니다</t>
  </si>
  <si>
    <t>#4 cooler</t>
  </si>
  <si>
    <t>호이스트 강제개방 고장 및 추락위험</t>
  </si>
  <si>
    <t>#4 2층 INLET 알리막리프트의 관성에 의해 하차위치와 리프트위치의 단차가 발생해 넘어질뻔 함</t>
  </si>
  <si>
    <t>설비</t>
  </si>
  <si>
    <t>세트앙카에 안전모가 부딪힐 뻔 함.</t>
  </si>
  <si>
    <t>전자해머 점검용 워크웨이를 올라가기 위해 
수직사다리를 통해 올라가던 중 
상부 천장에 노출된 미사용 셋트앙카에 안전모가 살짝 부딪힘
먼저 이동 경로를 확인 하고 위험요소를 발견 후 이동하여야 하는데 발견하지 못함</t>
  </si>
  <si>
    <t>L21 ST/RE</t>
  </si>
  <si>
    <t>TBM 시간에 주변을 잘 살피고 이동하도록 공유 하였습니다.</t>
  </si>
  <si>
    <t>320갱 BC3</t>
  </si>
  <si>
    <t>앞으로 이동시 손잡이를 잡고 이동하겠습니다</t>
  </si>
  <si>
    <t>소통 미비로 결선 중 단락 사고 발생할 뻔 함.</t>
  </si>
  <si>
    <t>선임 작업자가 결선 전 단계 까지만 하라고 전달했지만 제대로 전달되지 않아 결선까지 하게 됨.</t>
  </si>
  <si>
    <t>위험성이 있는 작업은 절대 임의로 판단하에 작업 금지, 무전으로 작업해도 괜찮다고 연락 받아도 마지막으로 검전기 혹은 테스터기로 확인 후 작업 하도록 교육 및 숙지</t>
  </si>
  <si>
    <t>습기에 의한 미끄러짐</t>
  </si>
  <si>
    <t>바닥의 물기를 보지 않고 이동 중 미끄러짐</t>
  </si>
  <si>
    <t>서두르지 않고 바닥을 확인 후 이동하겠음</t>
  </si>
  <si>
    <t>나무 가시에 찔림</t>
  </si>
  <si>
    <t>집</t>
  </si>
  <si>
    <t>나무 전지 작업 중 가시에 찔림/ 보호구(안전장갑) 미착용</t>
  </si>
  <si>
    <t>일상생활에서도 안전습관화 되도록 숙지 및 경험담 전파.</t>
  </si>
  <si>
    <t>판넬 이송 중 머리 부딪힘</t>
  </si>
  <si>
    <t>현대기전 사무실</t>
  </si>
  <si>
    <t>판넬을 사무실 밖으로 빼기 위해 구르마로 이동 중 사무실 문 앞 턱에서 판넬이 기울어지며 넘어감 그 후 넘어가는 쪽에 있던 인원이 머리를 부딪힘.</t>
  </si>
  <si>
    <t>사용했던 구르마보다 큰 규격의 구르마를 사용하고 판넬을 세워서 이동하지 않고 눕혀서 2명 이상의 인원이 함께 작업을 하였습니다.</t>
  </si>
  <si>
    <t>광산 320갱 BC2벨트</t>
  </si>
  <si>
    <t>고여있던 물들을 벨트를 꾹 눌러 밑으로 흘려보내고 부석들도 땅으로 밀어 치워둠</t>
  </si>
  <si>
    <t>사다리 이동중 무릎, 팔 타박상</t>
  </si>
  <si>
    <t>4호 coal mill probe 위치</t>
  </si>
  <si>
    <t>야간에 사다리 이동 중 부딪힘</t>
  </si>
  <si>
    <t>돌출부</t>
  </si>
  <si>
    <t>야간작업중 사다리 이동 시 해드랜턴 항시 켜놓은 후 돌출부 확인 및 접지 부 확인 철저</t>
  </si>
  <si>
    <t>그라인더 작업 중 쉿가루 튐</t>
  </si>
  <si>
    <t>광산 bc2 벨트</t>
  </si>
  <si>
    <t>유해물질 접촉</t>
  </si>
  <si>
    <t>보안경을 바르게 착용하고 내 자세를 딱 고정할 수 있는 위치에서 작업시행</t>
  </si>
  <si>
    <t>불안전한 상태: 개구부
불안전한 행동: 기타
부주의 행동: 위험을 보지 않음
부주의 상태: 서두름</t>
  </si>
  <si>
    <t>불안전한 상태: 통로
불안전한 행동: 불안전한 자세
부주의 행동: 몸의 균형이 불안정해짐
부주의 상태: 서두름</t>
  </si>
  <si>
    <t>불안전한 상태: 도구 및 장비
불안전한 행동: 도구의 잘못 사용
부주의 행동: 위험을 생각하지 않음
부주의 상태: 서두름</t>
  </si>
  <si>
    <t>불안전한 상태: 설비
불안전한 행동: 기타
부주의 행동: 위험경로에 위치함
부주의 상태: 서두름</t>
  </si>
  <si>
    <t>CCR 통보하여 수리</t>
  </si>
  <si>
    <t>불안전한 상태: 낙석
불안전한 행동: 보호구
부주의 행동: 위험을 보지 않음
부주의 상태: 서두름</t>
  </si>
  <si>
    <t>불안전한 상태: 작업발판
불안전한 행동: 평소 습관
부주의 행동: 위험을 생각하지 않음
부주의 상태: 서두름</t>
  </si>
  <si>
    <t>항만 석회석 치장 내</t>
  </si>
  <si>
    <t>불안전한 상태: 통로
불안전한 행동: 평소 습관
부주의 행동: 위험을 보지 않음
부주의 상태: 서두름</t>
  </si>
  <si>
    <t>불안전한 상태: 전기
불안전한 행동: 불안전한 자세
부주의 행동: 위험경로에 위치함
부주의 상태: 서두름</t>
  </si>
  <si>
    <t>Pump 교체시 off를 해도 잔여 에너지가 흐르는 문제로 감전위험을 느낌</t>
  </si>
  <si>
    <t>불안전한 상태: 전기
불안전한 행동: 평소 습관
부주의 행동: 위험을 보지 않음
부주의 상태: 자만심</t>
  </si>
  <si>
    <t>불안전한 상태: 도구 및 장비
불안전한 행동: 도구의 잘못 사용
부주의 행동: 위험을 보지 않음
부주의 상태: 서두름</t>
  </si>
  <si>
    <t>불안전한 상태: 조명/ 환경
불안전한 행동: 평소 습관
부주의 행동: 위험을 보지 않음
부주의 상태: 피로</t>
  </si>
  <si>
    <t>작은 물기라도 무거운 물체를 밀고 있을때는 미끄러울 수 있다는 것을 주변 동료와 공유함.</t>
  </si>
  <si>
    <t>불안전한 상태: 작업발판
불안전한 행동: 불안전한 자세
부주의 행동: 위험을 생각하지 않음
부주의 상태: 피로</t>
  </si>
  <si>
    <t>불안전한 상태: 제3자
불안전한 행동: 소통 미비
부주의 행동: 몸의 균형이 불안정해짐
부주의 상태: 스트레스</t>
  </si>
  <si>
    <t>불안전한 상태: 기타
불안전한 행동: 기타
부주의 행동: 위험을 보지 않음
부주의 상태: 서두름</t>
  </si>
  <si>
    <t>불안전한 상태: 계단
불안전한 행동: 기타
부주의 행동: 몸의 균형이 불안정해짐
부주의 상태: 자만심</t>
  </si>
  <si>
    <t>불안전한 상태: 조명/ 환경
불안전한 행동: 기타
부주의 행동: 몸의 균형이 불안정해짐
부주의 상태: 자만심</t>
  </si>
  <si>
    <t>불안전한 상태: 기타
불안전한 행동: 보호구
부주의 행동: 위험을 생각하지 않음
부주의 상태: 자만심</t>
  </si>
  <si>
    <t>야간작업시 장애물 부딫침</t>
  </si>
  <si>
    <t>불안전한 상태: 작업발판
불안전한 행동: 불안전한 자세
부주의 행동: 위험경로에 위치함
부주의 상태: 서두름</t>
  </si>
  <si>
    <t>3호 KILN INNET</t>
  </si>
  <si>
    <t>불안전한 상태: 도구 및 장비
불안전한 행동: 평소 습관
부주의 행동: 위험을 생각하지 않음
부주의 상태: 서두름</t>
  </si>
  <si>
    <t>계단 이용중 난간 손잡이를 놓쳐서 미끄러질뻔함</t>
  </si>
  <si>
    <t>불안전한 상태: 안전난간
불안전한 행동: 불안전한 자세
부주의 행동: 몸의 균형이 불안정해짐
부주의 상태: 서두름</t>
  </si>
  <si>
    <t>불안전한 상태: 제3자
불안전한 행동: 소통 미비
부주의 행동: 위험을 보지 않음
부주의 상태: 피로</t>
  </si>
  <si>
    <t>불안전한 상태: 계단
불안전한 행동: 평소 습관
부주의 행동: 위험을 보지 않음
부주의 상태: 서두름</t>
  </si>
  <si>
    <t>불안전한 상태: 도구 및 장비
불안전한 행동: 도구의 잘못 사용
부주의 행동: 위험을 생각하지 않음
부주의 상태: 자만심</t>
  </si>
  <si>
    <t>자재정리정돈중 전선관 발촉사고./윈인 자재정리미흡</t>
  </si>
  <si>
    <t>불안전한 상태: 정리정돈
불안전한 행동: 기타
부주의 행동: 위험을 보지 않음
부주의 상태: 자만심</t>
  </si>
  <si>
    <t>불안전한 상태: 기타
불안전한 행동: 불안전한 자세
부주의 행동: 위험을 생각하지 않음
부주의 상태: 피로</t>
  </si>
  <si>
    <t>불안전한 상태: 통로
불안전한 행동: 기타
부주의 행동: 몸의 균형이 불안정해짐
부주의 상태: 자만심</t>
  </si>
  <si>
    <t>이동 시 손으로 벽을 짚으면서 이동하도록 주변 동료들과 의견을 공유함.</t>
  </si>
  <si>
    <t>불안전한 상태: 통로
불안전한 행동: 기타
부주의 행동: 위험경로에 위치함
부주의 상태: 서두름</t>
  </si>
  <si>
    <t>불안전한 상태: 안전난간
불안전한 행동: 기타
부주의 행동: 몸의 균형이 불안정해짐
부주의 상태: 서두름</t>
  </si>
  <si>
    <t>안전난간 미고정된 사실을 동료들에게 전파하여 작업동료들에게 주지시킴.</t>
  </si>
  <si>
    <t>불안전한 상태: 기타
불안전한 행동: 불안전한 자세
부주의 행동: 위험을 보지 않음
부주의 상태: 서두름</t>
  </si>
  <si>
    <t>2호 키른</t>
  </si>
  <si>
    <t>불안전한 상태: 기타
불안전한 행동: 소통 미비
부주의 행동: 위험경로에 위치함
부주의 상태: 서두름</t>
  </si>
  <si>
    <t>항상 주변환경을 잘보고 
동료랑 소통을 하면서 천천히 서두르지 않게 
조심히 작업을 하겠습니다</t>
  </si>
  <si>
    <t>불안전한 상태: 통로
불안전한 행동: 기타
부주의 행동: 위험을 보지 않음
부주의 상태: 서두름</t>
  </si>
  <si>
    <t>불안전한 상태: 정리정돈
불안전한 행동: 기타
부주의 행동: 위험을 생각하지 않음
부주의 상태: 자만심</t>
  </si>
  <si>
    <t>불안전한 상태: 작업발판
불안전한 행동: 불안전한 자세
부주의 행동: 위험을 생각하지 않음
부주의 상태: 서두름</t>
  </si>
  <si>
    <t>불안전한 상태: 폭설/ 결빙
불안전한 행동: 불안전한 자세
부주의 행동: 몸의 균형이 불안정해짐
부주의 상태: 자만심</t>
  </si>
  <si>
    <t>불안전한 상태: 자연재해
불안전한 행동: 기타
부주의 행동: 위험을 보지 않음
부주의 상태: 서두름</t>
  </si>
  <si>
    <t>불안전한 상태: -
불안전한 행동: -
부주의 행동: -
부주의 상태: -</t>
  </si>
  <si>
    <t>기존 데이터 이관</t>
  </si>
  <si>
    <t>불안전한 상태: 작업발판
불안전한 행동: 기타
부주의 행동: 위험을 보지 않음
부주의 상태: 서두름</t>
  </si>
  <si>
    <t>불안전한 상태: 기타
불안전한 행동: 기타
부주의 행동: 위험을 보지 않음
부주의 상태: 자만심</t>
  </si>
  <si>
    <t>불안전한 상태: 조명/ 환경
불안전한 행동: 불안전한 자세
부주의 행동: 위험을 보지 않음
부주의 상태: 서두름</t>
  </si>
  <si>
    <t>4k INLET (PROBE )있는장소</t>
  </si>
  <si>
    <t>불안전한 상태: 계단
불안전한 행동: 평소 습관
부주의 행동: 위험경로에 위치함
부주의 상태: 피로</t>
  </si>
  <si>
    <t>불안전한 상태: 도구 및 장비
불안전한 행동: 도구의 잘못 사용
부주의 행동: 몸의 균형이 불안정해짐
부주의 상태: 서두름</t>
  </si>
  <si>
    <t>불안전한 상태: 기타
불안전한 행동: 도구의 잘못 사용
부주의 행동: 위험을 보지 않음
부주의 상태: 서두름</t>
  </si>
  <si>
    <t>불안전한 상태: 전기
불안전한 행동: 소통 미비
부주의 행동: 위험을 생각하지 않음
부주의 상태: 서두름</t>
  </si>
  <si>
    <t>불안전한 상태: 전기
불안전한 행동: 소통 미비
부주의 행동: 위험을 보지 않음
부주의 상태: 서두름</t>
  </si>
  <si>
    <t>불안전한 상태: 도구 및 장비
불안전한 행동: 평소 습관
부주의 행동: 위험을 보지 않음
부주의 상태: 서두름</t>
  </si>
  <si>
    <t>4k kiln inlet 앞 계단</t>
  </si>
  <si>
    <t>4k kiln inlet Probe 점검하러 올라가려는 계단에 위치한 배관에 헬멧을 박아서 뒤로 넘어질 뻔한 사고 발생</t>
  </si>
  <si>
    <t>계단 위치에 있는 배관이 너무 낮게 되어 있습니다.</t>
  </si>
  <si>
    <t>트레이 작업 중 그라인더로 잔넬을 절단하던 중 쉿가루가 눈으로 튐</t>
  </si>
  <si>
    <t>눈에는 보안경을 착용하고 있었지만 자르는 행위 중 아래를 보면서 작업을 해야했고 보안경이 조금씩 흘러내리는 사이 눈으로 튐</t>
  </si>
  <si>
    <t>320갱</t>
  </si>
  <si>
    <t>그라인더 사용중. 불티가 티어서  눈에 화상 입음</t>
  </si>
  <si>
    <t>안전보호구 착용 했음 에도. 제가 부주의 하여 불꽃팀</t>
  </si>
  <si>
    <t>보고서ID</t>
  </si>
  <si>
    <t>제목</t>
  </si>
  <si>
    <t>발생일시</t>
  </si>
  <si>
    <t>발생장소</t>
  </si>
  <si>
    <t>내용</t>
  </si>
  <si>
    <t>원인</t>
  </si>
  <si>
    <t>즉시조치</t>
  </si>
  <si>
    <t>재발방지대책</t>
  </si>
  <si>
    <t>작성자명</t>
  </si>
  <si>
    <t>이윤성</t>
  </si>
  <si>
    <t>이돈희</t>
  </si>
  <si>
    <t>4k kiln inlet 계단 올라갈 때 배관에 헬멧 박아서 계단에서 넘어질 뻔함</t>
  </si>
  <si>
    <t>그라인더 사용중 불티 화상</t>
  </si>
  <si>
    <t>재발을 방지하기 위해 헤드 라이트를 사용 후 고개와 허리를 숙이며 안전 난간을 잡고 조심히 이동하였습니다.</t>
  </si>
  <si>
    <t>그라인더 불티방지 사용</t>
  </si>
  <si>
    <r>
      <t>(</t>
    </r>
    <r>
      <rPr>
        <sz val="24"/>
        <rFont val="맑은 고딕"/>
        <family val="3"/>
        <charset val="129"/>
      </rPr>
      <t>■</t>
    </r>
    <r>
      <rPr>
        <b/>
        <sz val="24"/>
        <rFont val="맑은 고딕"/>
        <family val="3"/>
        <charset val="129"/>
      </rPr>
      <t xml:space="preserve"> 아차사고 , </t>
    </r>
    <r>
      <rPr>
        <sz val="24"/>
        <rFont val="맑은 고딕"/>
        <family val="3"/>
        <charset val="129"/>
      </rPr>
      <t>□</t>
    </r>
    <r>
      <rPr>
        <b/>
        <sz val="24"/>
        <rFont val="맑은 고딕"/>
        <family val="3"/>
        <charset val="129"/>
      </rPr>
      <t xml:space="preserve"> 응급처치 ) 보고서</t>
    </r>
    <phoneticPr fontId="3" type="noConversion"/>
  </si>
  <si>
    <t>■ 아차사고 보고서를 이용하여, 상황이 다소 달랐다면 인명피해로 이어질수 있었던 사고를 보고해 주시기 바랍니다</t>
    <phoneticPr fontId="3" type="noConversion"/>
  </si>
  <si>
    <t>■ 여러분의 협조가 당사의 인적, 물적 피해를 줄일 수 있으며 예방하는 도움이 됩니다</t>
    <phoneticPr fontId="3" type="noConversion"/>
  </si>
  <si>
    <t>소  속</t>
  </si>
  <si>
    <t>현대기전</t>
    <phoneticPr fontId="1" type="noConversion"/>
  </si>
  <si>
    <t>성  명</t>
  </si>
  <si>
    <t>사  번</t>
  </si>
  <si>
    <t>아차사고명</t>
    <phoneticPr fontId="3" type="noConversion"/>
  </si>
  <si>
    <t>아차사고</t>
    <phoneticPr fontId="3" type="noConversion"/>
  </si>
  <si>
    <t xml:space="preserve">경험(목격) </t>
    <phoneticPr fontId="3" type="noConversion"/>
  </si>
  <si>
    <t xml:space="preserve">내용 및 </t>
    <phoneticPr fontId="3" type="noConversion"/>
  </si>
  <si>
    <r>
      <t xml:space="preserve">원인 </t>
    </r>
    <r>
      <rPr>
        <sz val="12"/>
        <rFont val="맑은 고딕"/>
        <family val="3"/>
        <charset val="129"/>
      </rPr>
      <t>입니다</t>
    </r>
    <phoneticPr fontId="3" type="noConversion"/>
  </si>
  <si>
    <t>사고유형</t>
    <phoneticPr fontId="1" type="noConversion"/>
  </si>
  <si>
    <t>불안전한상태</t>
    <phoneticPr fontId="1" type="noConversion"/>
  </si>
  <si>
    <t>불안전한행동</t>
    <phoneticPr fontId="1" type="noConversion"/>
  </si>
  <si>
    <t>부주의 행동</t>
    <phoneticPr fontId="1" type="noConversion"/>
  </si>
  <si>
    <t>부주의 상태</t>
    <phoneticPr fontId="1" type="noConversion"/>
  </si>
  <si>
    <t>다음 해당하는 사항에 체크하세요.</t>
    <phoneticPr fontId="3" type="noConversion"/>
  </si>
  <si>
    <t>사고 유형</t>
    <phoneticPr fontId="15" type="noConversion"/>
  </si>
  <si>
    <t xml:space="preserve">     불안전한 상태 : </t>
    <phoneticPr fontId="3" type="noConversion"/>
  </si>
  <si>
    <t>추락</t>
    <phoneticPr fontId="1" type="noConversion"/>
  </si>
  <si>
    <t>규정위반</t>
    <phoneticPr fontId="1" type="noConversion"/>
  </si>
  <si>
    <t>돌출부</t>
    <phoneticPr fontId="1" type="noConversion"/>
  </si>
  <si>
    <t>도구의 잘못 사용</t>
    <phoneticPr fontId="1" type="noConversion"/>
  </si>
  <si>
    <t>피로</t>
    <phoneticPr fontId="1" type="noConversion"/>
  </si>
  <si>
    <t>충돌</t>
    <phoneticPr fontId="1" type="noConversion"/>
  </si>
  <si>
    <t>안전난간</t>
    <phoneticPr fontId="1" type="noConversion"/>
  </si>
  <si>
    <t>무거운 짐 취급</t>
    <phoneticPr fontId="1" type="noConversion"/>
  </si>
  <si>
    <t>스트레스</t>
    <phoneticPr fontId="1" type="noConversion"/>
  </si>
  <si>
    <t>낙하</t>
    <phoneticPr fontId="1" type="noConversion"/>
  </si>
  <si>
    <t>작업발판</t>
    <phoneticPr fontId="1" type="noConversion"/>
  </si>
  <si>
    <t>보호구</t>
    <phoneticPr fontId="1" type="noConversion"/>
  </si>
  <si>
    <t>자만심</t>
    <phoneticPr fontId="1" type="noConversion"/>
  </si>
  <si>
    <t>비래</t>
    <phoneticPr fontId="1" type="noConversion"/>
  </si>
  <si>
    <t>개구부</t>
    <phoneticPr fontId="1" type="noConversion"/>
  </si>
  <si>
    <t>불안전한 자세</t>
    <phoneticPr fontId="1" type="noConversion"/>
  </si>
  <si>
    <t>붕괴</t>
    <phoneticPr fontId="1" type="noConversion"/>
  </si>
  <si>
    <t>전기</t>
    <phoneticPr fontId="1" type="noConversion"/>
  </si>
  <si>
    <t>협착</t>
    <phoneticPr fontId="1" type="noConversion"/>
  </si>
  <si>
    <t>운전장비</t>
    <phoneticPr fontId="1" type="noConversion"/>
  </si>
  <si>
    <t xml:space="preserve">     불안전한 행동 : </t>
    <phoneticPr fontId="3" type="noConversion"/>
  </si>
  <si>
    <t>요통</t>
    <phoneticPr fontId="1" type="noConversion"/>
  </si>
  <si>
    <t>정리정돈</t>
    <phoneticPr fontId="1" type="noConversion"/>
  </si>
  <si>
    <t>화상/동상</t>
    <phoneticPr fontId="1" type="noConversion"/>
  </si>
  <si>
    <t>자연재해</t>
    <phoneticPr fontId="1" type="noConversion"/>
  </si>
  <si>
    <t>설비 사고</t>
    <phoneticPr fontId="1" type="noConversion"/>
  </si>
  <si>
    <t>계단</t>
    <phoneticPr fontId="1" type="noConversion"/>
  </si>
  <si>
    <t>유해물질 접촉</t>
    <phoneticPr fontId="1" type="noConversion"/>
  </si>
  <si>
    <t>낙석</t>
    <phoneticPr fontId="1" type="noConversion"/>
  </si>
  <si>
    <t>화재/ 폭발</t>
    <phoneticPr fontId="1" type="noConversion"/>
  </si>
  <si>
    <t>폭설/ 결빙</t>
    <phoneticPr fontId="1" type="noConversion"/>
  </si>
  <si>
    <t>익사</t>
    <phoneticPr fontId="1" type="noConversion"/>
  </si>
  <si>
    <t>절단/ 찰과상</t>
    <phoneticPr fontId="1" type="noConversion"/>
  </si>
  <si>
    <t>동물/ 뱀/ 벌</t>
    <phoneticPr fontId="1" type="noConversion"/>
  </si>
  <si>
    <t>사고 방지를 위해</t>
    <phoneticPr fontId="3" type="noConversion"/>
  </si>
  <si>
    <t>※ 보고자가 조치한 사항이 있는경우에 기록 해 주시기 바랍니다.</t>
    <phoneticPr fontId="3" type="noConversion"/>
  </si>
  <si>
    <t>분류 불능</t>
    <phoneticPr fontId="1" type="noConversion"/>
  </si>
  <si>
    <t>제3자</t>
    <phoneticPr fontId="1" type="noConversion"/>
  </si>
  <si>
    <t xml:space="preserve">저는 이렇게 </t>
    <phoneticPr fontId="3" type="noConversion"/>
  </si>
  <si>
    <t>차량사고</t>
    <phoneticPr fontId="1" type="noConversion"/>
  </si>
  <si>
    <t>조명/ 환경</t>
    <phoneticPr fontId="1" type="noConversion"/>
  </si>
  <si>
    <t>조치하였습니다</t>
    <phoneticPr fontId="15" type="noConversion"/>
  </si>
  <si>
    <t xml:space="preserve"> ▶ 제안자는 위의 사항들만 작성하시어 관련팀에 제출하여 주시기 바랍니다.</t>
    <phoneticPr fontId="3" type="noConversion"/>
  </si>
  <si>
    <t>다음과 같은</t>
    <phoneticPr fontId="3" type="noConversion"/>
  </si>
  <si>
    <t>※ 아차사고확인자(접수팀)에 의해 수립된 계획</t>
    <phoneticPr fontId="3" type="noConversion"/>
  </si>
  <si>
    <t>조치를 취해</t>
    <phoneticPr fontId="3" type="noConversion"/>
  </si>
  <si>
    <t>주시기 바랍니다</t>
    <phoneticPr fontId="15" type="noConversion"/>
  </si>
  <si>
    <t>제안사항 확인</t>
    <phoneticPr fontId="3" type="noConversion"/>
  </si>
  <si>
    <t>접수팀</t>
    <phoneticPr fontId="3" type="noConversion"/>
  </si>
  <si>
    <t xml:space="preserve">(인)   </t>
    <phoneticPr fontId="3" type="noConversion"/>
  </si>
  <si>
    <t>안전관리팀으로 제출 후 개선계획을 기록/보관하여 주시기 바랍니다.</t>
    <phoneticPr fontId="3" type="noConversion"/>
  </si>
  <si>
    <t xml:space="preserve"> ▶ 접수팀에서는 접수 즉시 안전보건팀으로 제출하여 주시기 바랍니다.</t>
    <phoneticPr fontId="3" type="noConversion"/>
  </si>
  <si>
    <t>접수 확인</t>
    <phoneticPr fontId="3" type="noConversion"/>
  </si>
  <si>
    <t>안전관리팀</t>
    <phoneticPr fontId="3" type="noConversion"/>
  </si>
  <si>
    <t>▶ 접수팀에서는 팀장 확인 후 자체 보관하여 주시기 바랍니다.</t>
    <phoneticPr fontId="3" type="noConversion"/>
  </si>
  <si>
    <r>
      <t xml:space="preserve"> * </t>
    </r>
    <r>
      <rPr>
        <i/>
        <u/>
        <sz val="10"/>
        <rFont val="맑은 고딕"/>
        <family val="3"/>
        <charset val="129"/>
      </rPr>
      <t>사진제출 필요시</t>
    </r>
    <r>
      <rPr>
        <sz val="10"/>
        <rFont val="맑은 고딕"/>
        <family val="3"/>
        <charset val="129"/>
      </rPr>
      <t>는 별도로 제출 또는 뒷면에 부착 하시기 바랍니다.</t>
    </r>
    <phoneticPr fontId="3" type="noConversion"/>
  </si>
  <si>
    <t>부주의한 행동</t>
  </si>
  <si>
    <t>부주의한 상태</t>
  </si>
  <si>
    <t>계단턱에 걸리거나 미끄러져서 바닥에 몸이 부딪힘</t>
  </si>
  <si>
    <t>이동 시 난간을 잡지 않고 빠른 속도로 이동함.</t>
  </si>
  <si>
    <t>조도가 낮은 상태에서 주변 확인을 하지 못함</t>
  </si>
  <si>
    <t>광산현대화 BC2 벨트에서 이동식 비계를 옮기던 중 미끄러짐</t>
  </si>
  <si>
    <t>BC2벨트 구조물 위에 안착해놨던 이동식 비계를 CRUSHER방향으로 테스트 겸 밀던 중 벨트위에 고여있던 물들과 부석들이 발에 걸리며 미끄러질뻔함.</t>
  </si>
  <si>
    <t>이동하기 전에 이동경로에 장애물이 있는지 사전 조사실시 미흡.</t>
  </si>
  <si>
    <t>기타: 무거운 짐 취급</t>
  </si>
  <si>
    <t>서두르다가 이동경로의 장애물을 생각하지 못함.</t>
  </si>
  <si>
    <t>공구를 체결 시 손잡이와 파이프가 수직상태에 놓이지 않은 상태로, 몸의 위치가 손잡이 중심선에서 많이 벗어난 상태였음</t>
  </si>
  <si>
    <t>급하게 작업하기보단 공구가 체결된거 확인후&lt;br&gt;안전하게 작업</t>
  </si>
  <si>
    <t>급하게 작업하기보단 공구가 체결된거 확인후_x000D_
안전하게 작업</t>
  </si>
  <si>
    <t>4k inlet 이젝터 청소를 하다 바닥에 나사가 떨어짐, 나사를 찾으려 움직이다 바닥에 넘어질 뻔함</t>
  </si>
  <si>
    <t>바닥 근처에 공구가방이 있었는데 나사를 찾으려다 확인하지 못함</t>
  </si>
  <si>
    <t>보고서ID</t>
    <phoneticPr fontId="1" type="noConversion"/>
  </si>
  <si>
    <t>계단에서 미끄러짐</t>
  </si>
  <si>
    <t>아차사고선택목록</t>
    <phoneticPr fontId="1" type="noConversion"/>
  </si>
  <si>
    <t>절단/찰과상</t>
  </si>
  <si>
    <t>절단/찰과상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</si>
</sst>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9"/>
      <color rgb="FF000000"/>
      <name val="Malgun Gothic"/>
      <family val="3"/>
      <charset val="129"/>
    </font>
    <font>
      <sz val="12"/>
      <name val="바탕체"/>
      <family val="1"/>
      <charset val="129"/>
    </font>
    <font>
      <sz val="12"/>
      <name val="맑은 고딕"/>
      <family val="3"/>
      <charset val="129"/>
      <scheme val="minor"/>
    </font>
    <font>
      <sz val="12"/>
      <name val="돋움체"/>
      <family val="3"/>
      <charset val="129"/>
    </font>
    <font>
      <b/>
      <sz val="24"/>
      <name val="맑은 고딕"/>
      <family val="3"/>
      <charset val="129"/>
      <scheme val="minor"/>
    </font>
    <font>
      <sz val="24"/>
      <name val="맑은 고딕"/>
      <family val="3"/>
      <charset val="129"/>
    </font>
    <font>
      <b/>
      <sz val="24"/>
      <name val="맑은 고딕"/>
      <family val="3"/>
      <charset val="129"/>
    </font>
    <font>
      <sz val="9"/>
      <name val="맑은 고딕"/>
      <family val="3"/>
      <charset val="129"/>
      <scheme val="minor"/>
    </font>
    <font>
      <b/>
      <sz val="22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2"/>
      <name val="맑은 고딕"/>
      <family val="3"/>
      <charset val="129"/>
    </font>
    <font>
      <sz val="8"/>
      <name val="돋움"/>
      <family val="3"/>
      <charset val="129"/>
    </font>
    <font>
      <sz val="6"/>
      <name val="맑은 고딕"/>
      <family val="3"/>
      <charset val="129"/>
      <scheme val="minor"/>
    </font>
    <font>
      <sz val="12"/>
      <color indexed="8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i/>
      <u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indexed="13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27">
    <xf numFmtId="0" fontId="0" fillId="0" borderId="0" xfId="0"/>
    <xf numFmtId="0" fontId="0" fillId="0" borderId="0" xfId="0" applyAlignment="1">
      <alignment wrapText="1"/>
    </xf>
    <xf numFmtId="22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wrapText="1"/>
    </xf>
    <xf numFmtId="22" fontId="0" fillId="0" borderId="0" xfId="0" applyNumberFormat="1" applyAlignment="1">
      <alignment wrapText="1"/>
    </xf>
    <xf numFmtId="0" fontId="4" fillId="0" borderId="0" xfId="1" applyFont="1" applyAlignment="1">
      <alignment vertical="center"/>
    </xf>
    <xf numFmtId="0" fontId="6" fillId="0" borderId="0" xfId="2" applyFont="1" applyAlignment="1">
      <alignment horizontal="left" vertical="center"/>
    </xf>
    <xf numFmtId="0" fontId="4" fillId="0" borderId="0" xfId="1" applyFont="1" applyAlignment="1">
      <alignment vertical="center" shrinkToFit="1"/>
    </xf>
    <xf numFmtId="0" fontId="4" fillId="0" borderId="0" xfId="2" applyFont="1"/>
    <xf numFmtId="0" fontId="4" fillId="0" borderId="0" xfId="2" applyFont="1" applyAlignment="1">
      <alignment shrinkToFit="1"/>
    </xf>
    <xf numFmtId="0" fontId="9" fillId="0" borderId="0" xfId="2" applyFont="1" applyAlignment="1">
      <alignment vertical="center"/>
    </xf>
    <xf numFmtId="0" fontId="6" fillId="0" borderId="0" xfId="2" applyFont="1" applyAlignment="1">
      <alignment horizontal="centerContinuous" vertical="center"/>
    </xf>
    <xf numFmtId="0" fontId="10" fillId="0" borderId="0" xfId="2" applyFont="1" applyAlignment="1">
      <alignment horizontal="centerContinuous"/>
    </xf>
    <xf numFmtId="0" fontId="4" fillId="0" borderId="0" xfId="2" applyFont="1" applyAlignment="1">
      <alignment horizontal="centerContinuous"/>
    </xf>
    <xf numFmtId="31" fontId="9" fillId="0" borderId="0" xfId="2" applyNumberFormat="1" applyFont="1" applyAlignment="1">
      <alignment vertical="center"/>
    </xf>
    <xf numFmtId="31" fontId="9" fillId="0" borderId="1" xfId="2" applyNumberFormat="1" applyFont="1" applyBorder="1" applyAlignment="1">
      <alignment vertical="center"/>
    </xf>
    <xf numFmtId="31" fontId="9" fillId="0" borderId="1" xfId="2" applyNumberFormat="1" applyFont="1" applyBorder="1" applyAlignment="1">
      <alignment horizontal="left" vertical="center"/>
    </xf>
    <xf numFmtId="0" fontId="11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4" xfId="2" applyFont="1" applyBorder="1" applyAlignment="1">
      <alignment horizontal="center" vertical="center"/>
    </xf>
    <xf numFmtId="0" fontId="11" fillId="0" borderId="5" xfId="2" applyFont="1" applyBorder="1" applyAlignment="1">
      <alignment horizontal="center" vertical="center"/>
    </xf>
    <xf numFmtId="0" fontId="4" fillId="0" borderId="3" xfId="2" applyFont="1" applyBorder="1" applyAlignment="1">
      <alignment horizontal="center" vertical="center"/>
    </xf>
    <xf numFmtId="0" fontId="4" fillId="0" borderId="6" xfId="2" applyFont="1" applyBorder="1" applyAlignment="1">
      <alignment horizontal="center" vertical="center"/>
    </xf>
    <xf numFmtId="0" fontId="4" fillId="0" borderId="7" xfId="2" applyFont="1" applyBorder="1" applyAlignment="1">
      <alignment horizontal="center" vertical="center"/>
    </xf>
    <xf numFmtId="0" fontId="4" fillId="0" borderId="0" xfId="2" applyFont="1" applyAlignment="1">
      <alignment vertical="center" shrinkToFit="1"/>
    </xf>
    <xf numFmtId="0" fontId="4" fillId="0" borderId="0" xfId="2" applyFont="1" applyAlignment="1">
      <alignment vertical="center"/>
    </xf>
    <xf numFmtId="0" fontId="11" fillId="0" borderId="8" xfId="2" applyFont="1" applyBorder="1" applyAlignment="1">
      <alignment horizontal="center" vertical="center"/>
    </xf>
    <xf numFmtId="0" fontId="4" fillId="0" borderId="9" xfId="2" applyFont="1" applyBorder="1" applyAlignment="1">
      <alignment horizontal="left" vertical="center"/>
    </xf>
    <xf numFmtId="0" fontId="4" fillId="0" borderId="10" xfId="2" applyFont="1" applyBorder="1" applyAlignment="1">
      <alignment horizontal="left" vertical="center"/>
    </xf>
    <xf numFmtId="0" fontId="4" fillId="0" borderId="11" xfId="2" applyFont="1" applyBorder="1" applyAlignment="1">
      <alignment horizontal="left" vertical="center"/>
    </xf>
    <xf numFmtId="0" fontId="11" fillId="0" borderId="12" xfId="2" applyFont="1" applyBorder="1" applyAlignment="1">
      <alignment horizontal="center" vertical="center"/>
    </xf>
    <xf numFmtId="0" fontId="12" fillId="0" borderId="0" xfId="2" applyFont="1" applyAlignment="1">
      <alignment vertical="center"/>
    </xf>
    <xf numFmtId="0" fontId="4" fillId="0" borderId="13" xfId="2" applyFont="1" applyBorder="1" applyAlignment="1">
      <alignment vertical="center"/>
    </xf>
    <xf numFmtId="0" fontId="4" fillId="0" borderId="12" xfId="2" applyFont="1" applyBorder="1" applyAlignment="1">
      <alignment horizontal="center" vertical="center"/>
    </xf>
    <xf numFmtId="0" fontId="13" fillId="0" borderId="0" xfId="2" quotePrefix="1" applyFont="1" applyAlignment="1">
      <alignment vertical="center"/>
    </xf>
    <xf numFmtId="31" fontId="4" fillId="0" borderId="0" xfId="2" applyNumberFormat="1" applyFont="1" applyAlignment="1">
      <alignment vertical="center"/>
    </xf>
    <xf numFmtId="0" fontId="13" fillId="0" borderId="0" xfId="2" applyFont="1" applyAlignment="1">
      <alignment vertical="center"/>
    </xf>
    <xf numFmtId="0" fontId="13" fillId="0" borderId="12" xfId="2" applyFont="1" applyBorder="1" applyAlignment="1">
      <alignment horizontal="center" vertical="center" wrapText="1"/>
    </xf>
    <xf numFmtId="0" fontId="13" fillId="0" borderId="14" xfId="2" applyFont="1" applyBorder="1" applyAlignment="1">
      <alignment horizontal="left" vertical="top" wrapText="1"/>
    </xf>
    <xf numFmtId="0" fontId="13" fillId="0" borderId="0" xfId="2" applyFont="1" applyAlignment="1">
      <alignment horizontal="left" vertical="top" wrapText="1"/>
    </xf>
    <xf numFmtId="0" fontId="13" fillId="0" borderId="13" xfId="2" applyFont="1" applyBorder="1" applyAlignment="1">
      <alignment horizontal="left" vertical="top" wrapText="1"/>
    </xf>
    <xf numFmtId="0" fontId="13" fillId="0" borderId="12" xfId="2" applyFont="1" applyBorder="1" applyAlignment="1">
      <alignment horizontal="center" vertical="center"/>
    </xf>
    <xf numFmtId="0" fontId="13" fillId="2" borderId="2" xfId="2" applyFont="1" applyFill="1" applyBorder="1" applyAlignment="1">
      <alignment horizontal="center" vertical="center"/>
    </xf>
    <xf numFmtId="0" fontId="13" fillId="2" borderId="5" xfId="2" applyFont="1" applyFill="1" applyBorder="1" applyAlignment="1">
      <alignment horizontal="center" vertical="center"/>
    </xf>
    <xf numFmtId="0" fontId="13" fillId="2" borderId="15" xfId="2" applyFont="1" applyFill="1" applyBorder="1" applyAlignment="1">
      <alignment horizontal="center" vertical="center"/>
    </xf>
    <xf numFmtId="0" fontId="13" fillId="2" borderId="16" xfId="2" applyFont="1" applyFill="1" applyBorder="1" applyAlignment="1">
      <alignment horizontal="center" vertical="center"/>
    </xf>
    <xf numFmtId="0" fontId="13" fillId="2" borderId="17" xfId="2" applyFont="1" applyFill="1" applyBorder="1" applyAlignment="1">
      <alignment horizontal="center" vertical="center"/>
    </xf>
    <xf numFmtId="0" fontId="13" fillId="2" borderId="18" xfId="2" applyFont="1" applyFill="1" applyBorder="1" applyAlignment="1">
      <alignment horizontal="center" vertical="center"/>
    </xf>
    <xf numFmtId="0" fontId="13" fillId="2" borderId="19" xfId="2" applyFont="1" applyFill="1" applyBorder="1" applyAlignment="1">
      <alignment vertical="center"/>
    </xf>
    <xf numFmtId="0" fontId="13" fillId="2" borderId="17" xfId="2" applyFont="1" applyFill="1" applyBorder="1" applyAlignment="1">
      <alignment vertical="center"/>
    </xf>
    <xf numFmtId="0" fontId="16" fillId="2" borderId="17" xfId="2" applyFont="1" applyFill="1" applyBorder="1" applyAlignment="1">
      <alignment horizontal="left" vertical="center" wrapText="1"/>
    </xf>
    <xf numFmtId="0" fontId="16" fillId="2" borderId="17" xfId="2" applyFont="1" applyFill="1" applyBorder="1" applyAlignment="1">
      <alignment horizontal="left" vertical="center"/>
    </xf>
    <xf numFmtId="0" fontId="16" fillId="2" borderId="20" xfId="2" applyFont="1" applyFill="1" applyBorder="1" applyAlignment="1">
      <alignment horizontal="left" vertical="center"/>
    </xf>
    <xf numFmtId="0" fontId="13" fillId="0" borderId="21" xfId="2" applyFont="1" applyBorder="1" applyAlignment="1">
      <alignment horizontal="center" vertical="center"/>
    </xf>
    <xf numFmtId="0" fontId="13" fillId="0" borderId="0" xfId="2" applyFont="1" applyAlignment="1">
      <alignment horizontal="center" vertical="center"/>
    </xf>
    <xf numFmtId="0" fontId="13" fillId="0" borderId="22" xfId="2" applyFont="1" applyBorder="1" applyAlignment="1">
      <alignment vertical="center"/>
    </xf>
    <xf numFmtId="0" fontId="13" fillId="0" borderId="23" xfId="2" applyFont="1" applyBorder="1" applyAlignment="1">
      <alignment horizontal="center" vertical="center"/>
    </xf>
    <xf numFmtId="0" fontId="13" fillId="0" borderId="24" xfId="2" applyFont="1" applyBorder="1" applyAlignment="1">
      <alignment horizontal="center" vertical="center"/>
    </xf>
    <xf numFmtId="0" fontId="13" fillId="0" borderId="25" xfId="2" applyFont="1" applyBorder="1" applyAlignment="1">
      <alignment horizontal="center" vertical="center"/>
    </xf>
    <xf numFmtId="0" fontId="13" fillId="0" borderId="14" xfId="2" applyFont="1" applyBorder="1" applyAlignment="1">
      <alignment horizontal="center" vertical="center"/>
    </xf>
    <xf numFmtId="0" fontId="13" fillId="0" borderId="13" xfId="2" applyFont="1" applyBorder="1" applyAlignment="1">
      <alignment horizontal="center" vertical="center"/>
    </xf>
    <xf numFmtId="0" fontId="13" fillId="0" borderId="19" xfId="2" applyFont="1" applyBorder="1" applyAlignment="1">
      <alignment horizontal="center" vertical="center"/>
    </xf>
    <xf numFmtId="0" fontId="13" fillId="0" borderId="17" xfId="2" applyFont="1" applyBorder="1" applyAlignment="1">
      <alignment horizontal="center" vertical="center"/>
    </xf>
    <xf numFmtId="0" fontId="13" fillId="0" borderId="20" xfId="2" applyFont="1" applyBorder="1" applyAlignment="1">
      <alignment horizontal="center" vertical="center"/>
    </xf>
    <xf numFmtId="0" fontId="13" fillId="2" borderId="9" xfId="2" applyFont="1" applyFill="1" applyBorder="1" applyAlignment="1">
      <alignment vertical="center"/>
    </xf>
    <xf numFmtId="0" fontId="13" fillId="2" borderId="10" xfId="2" applyFont="1" applyFill="1" applyBorder="1" applyAlignment="1">
      <alignment vertical="center"/>
    </xf>
    <xf numFmtId="0" fontId="16" fillId="2" borderId="10" xfId="2" applyFont="1" applyFill="1" applyBorder="1" applyAlignment="1">
      <alignment horizontal="left" vertical="center" wrapText="1"/>
    </xf>
    <xf numFmtId="0" fontId="16" fillId="2" borderId="10" xfId="2" applyFont="1" applyFill="1" applyBorder="1" applyAlignment="1">
      <alignment horizontal="left" vertical="center"/>
    </xf>
    <xf numFmtId="0" fontId="16" fillId="2" borderId="11" xfId="2" applyFont="1" applyFill="1" applyBorder="1" applyAlignment="1">
      <alignment horizontal="left" vertical="center"/>
    </xf>
    <xf numFmtId="0" fontId="4" fillId="0" borderId="23" xfId="2" applyFont="1" applyBorder="1" applyAlignment="1">
      <alignment horizontal="center" vertical="center"/>
    </xf>
    <xf numFmtId="0" fontId="4" fillId="0" borderId="24" xfId="2" applyFont="1" applyBorder="1" applyAlignment="1">
      <alignment horizontal="center" vertical="center"/>
    </xf>
    <xf numFmtId="0" fontId="4" fillId="0" borderId="25" xfId="2" applyFont="1" applyBorder="1" applyAlignment="1">
      <alignment horizontal="center" vertical="center"/>
    </xf>
    <xf numFmtId="0" fontId="4" fillId="0" borderId="14" xfId="2" applyFont="1" applyBorder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4" fillId="0" borderId="13" xfId="2" applyFont="1" applyBorder="1" applyAlignment="1">
      <alignment horizontal="center" vertical="center"/>
    </xf>
    <xf numFmtId="0" fontId="13" fillId="0" borderId="26" xfId="2" applyFont="1" applyBorder="1" applyAlignment="1">
      <alignment horizontal="center" vertical="center"/>
    </xf>
    <xf numFmtId="0" fontId="13" fillId="0" borderId="1" xfId="2" applyFont="1" applyBorder="1" applyAlignment="1">
      <alignment horizontal="center" vertical="center"/>
    </xf>
    <xf numFmtId="0" fontId="13" fillId="0" borderId="27" xfId="2" applyFont="1" applyBorder="1" applyAlignment="1">
      <alignment vertical="center"/>
    </xf>
    <xf numFmtId="0" fontId="4" fillId="0" borderId="28" xfId="2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0" fontId="4" fillId="0" borderId="29" xfId="2" applyFont="1" applyBorder="1" applyAlignment="1">
      <alignment horizontal="center" vertical="center"/>
    </xf>
    <xf numFmtId="0" fontId="17" fillId="0" borderId="12" xfId="2" applyFont="1" applyBorder="1" applyAlignment="1">
      <alignment horizontal="center" vertical="center"/>
    </xf>
    <xf numFmtId="0" fontId="12" fillId="0" borderId="9" xfId="2" applyFont="1" applyBorder="1" applyAlignment="1">
      <alignment vertical="center"/>
    </xf>
    <xf numFmtId="0" fontId="4" fillId="0" borderId="10" xfId="2" applyFont="1" applyBorder="1" applyAlignment="1">
      <alignment vertical="center"/>
    </xf>
    <xf numFmtId="0" fontId="4" fillId="0" borderId="30" xfId="2" applyFont="1" applyBorder="1" applyAlignment="1">
      <alignment vertical="center"/>
    </xf>
    <xf numFmtId="0" fontId="4" fillId="0" borderId="14" xfId="2" applyFont="1" applyBorder="1" applyAlignment="1">
      <alignment horizontal="left" vertical="top" wrapText="1"/>
    </xf>
    <xf numFmtId="0" fontId="4" fillId="0" borderId="0" xfId="2" applyFont="1" applyAlignment="1">
      <alignment horizontal="left" vertical="top" wrapText="1"/>
    </xf>
    <xf numFmtId="0" fontId="4" fillId="0" borderId="13" xfId="2" applyFont="1" applyBorder="1" applyAlignment="1">
      <alignment horizontal="left" vertical="top" wrapText="1"/>
    </xf>
    <xf numFmtId="0" fontId="13" fillId="0" borderId="31" xfId="2" applyFont="1" applyBorder="1" applyAlignment="1">
      <alignment horizontal="center" vertical="center"/>
    </xf>
    <xf numFmtId="0" fontId="4" fillId="0" borderId="28" xfId="2" applyFont="1" applyBorder="1" applyAlignment="1">
      <alignment horizontal="left" vertical="top" wrapText="1"/>
    </xf>
    <xf numFmtId="0" fontId="4" fillId="0" borderId="1" xfId="2" applyFont="1" applyBorder="1" applyAlignment="1">
      <alignment horizontal="left" vertical="top" wrapText="1"/>
    </xf>
    <xf numFmtId="0" fontId="4" fillId="0" borderId="29" xfId="2" applyFont="1" applyBorder="1" applyAlignment="1">
      <alignment horizontal="left" vertical="top" wrapText="1"/>
    </xf>
    <xf numFmtId="0" fontId="11" fillId="3" borderId="32" xfId="2" applyFont="1" applyFill="1" applyBorder="1" applyAlignment="1">
      <alignment horizontal="left" vertical="center" wrapText="1"/>
    </xf>
    <xf numFmtId="0" fontId="11" fillId="3" borderId="33" xfId="2" applyFont="1" applyFill="1" applyBorder="1" applyAlignment="1">
      <alignment horizontal="left" vertical="center" wrapText="1"/>
    </xf>
    <xf numFmtId="0" fontId="11" fillId="3" borderId="34" xfId="2" applyFont="1" applyFill="1" applyBorder="1" applyAlignment="1">
      <alignment horizontal="left" vertical="center" wrapText="1"/>
    </xf>
    <xf numFmtId="0" fontId="17" fillId="0" borderId="12" xfId="2" applyFont="1" applyBorder="1" applyAlignment="1">
      <alignment horizontal="center" vertical="center" shrinkToFit="1"/>
    </xf>
    <xf numFmtId="0" fontId="4" fillId="0" borderId="14" xfId="2" applyFont="1" applyBorder="1" applyAlignment="1">
      <alignment horizontal="left" vertical="top"/>
    </xf>
    <xf numFmtId="0" fontId="4" fillId="0" borderId="0" xfId="2" applyFont="1" applyAlignment="1">
      <alignment horizontal="left" vertical="top"/>
    </xf>
    <xf numFmtId="0" fontId="4" fillId="0" borderId="13" xfId="2" applyFont="1" applyBorder="1" applyAlignment="1">
      <alignment horizontal="left" vertical="top"/>
    </xf>
    <xf numFmtId="0" fontId="18" fillId="0" borderId="31" xfId="2" applyFont="1" applyBorder="1" applyAlignment="1">
      <alignment horizontal="center" vertical="center" shrinkToFit="1"/>
    </xf>
    <xf numFmtId="0" fontId="4" fillId="0" borderId="28" xfId="2" applyFont="1" applyBorder="1" applyAlignment="1">
      <alignment horizontal="left" vertical="top"/>
    </xf>
    <xf numFmtId="0" fontId="4" fillId="0" borderId="1" xfId="2" applyFont="1" applyBorder="1" applyAlignment="1">
      <alignment horizontal="left" vertical="top"/>
    </xf>
    <xf numFmtId="0" fontId="4" fillId="0" borderId="29" xfId="2" applyFont="1" applyBorder="1" applyAlignment="1">
      <alignment horizontal="left" vertical="top"/>
    </xf>
    <xf numFmtId="0" fontId="19" fillId="0" borderId="8" xfId="2" applyFont="1" applyBorder="1" applyAlignment="1">
      <alignment horizontal="center" vertical="center"/>
    </xf>
    <xf numFmtId="0" fontId="4" fillId="0" borderId="35" xfId="2" applyFont="1" applyBorder="1" applyAlignment="1">
      <alignment horizontal="centerContinuous" vertical="center"/>
    </xf>
    <xf numFmtId="0" fontId="19" fillId="0" borderId="19" xfId="2" applyFont="1" applyBorder="1" applyAlignment="1">
      <alignment horizontal="right" vertical="center"/>
    </xf>
    <xf numFmtId="0" fontId="19" fillId="0" borderId="17" xfId="2" applyFont="1" applyBorder="1" applyAlignment="1">
      <alignment horizontal="right" vertical="center"/>
    </xf>
    <xf numFmtId="0" fontId="19" fillId="0" borderId="18" xfId="2" applyFont="1" applyBorder="1" applyAlignment="1">
      <alignment horizontal="right" vertical="center"/>
    </xf>
    <xf numFmtId="0" fontId="16" fillId="0" borderId="19" xfId="2" applyFont="1" applyBorder="1" applyAlignment="1">
      <alignment horizontal="center" vertical="center" wrapText="1"/>
    </xf>
    <xf numFmtId="0" fontId="16" fillId="0" borderId="17" xfId="2" applyFont="1" applyBorder="1" applyAlignment="1">
      <alignment horizontal="center" vertical="center" wrapText="1"/>
    </xf>
    <xf numFmtId="0" fontId="16" fillId="0" borderId="20" xfId="2" applyFont="1" applyBorder="1" applyAlignment="1">
      <alignment horizontal="center" vertical="center" wrapText="1"/>
    </xf>
    <xf numFmtId="0" fontId="19" fillId="0" borderId="36" xfId="2" applyFont="1" applyBorder="1" applyAlignment="1">
      <alignment horizontal="center" vertical="center"/>
    </xf>
    <xf numFmtId="0" fontId="12" fillId="0" borderId="37" xfId="2" applyFont="1" applyBorder="1" applyAlignment="1">
      <alignment horizontal="centerContinuous" vertical="center"/>
    </xf>
    <xf numFmtId="0" fontId="19" fillId="0" borderId="38" xfId="2" applyFont="1" applyBorder="1" applyAlignment="1">
      <alignment horizontal="right" vertical="center"/>
    </xf>
    <xf numFmtId="0" fontId="19" fillId="0" borderId="39" xfId="2" applyFont="1" applyBorder="1" applyAlignment="1">
      <alignment horizontal="right" vertical="center"/>
    </xf>
    <xf numFmtId="0" fontId="19" fillId="0" borderId="37" xfId="2" applyFont="1" applyBorder="1" applyAlignment="1">
      <alignment horizontal="right" vertical="center"/>
    </xf>
    <xf numFmtId="0" fontId="19" fillId="0" borderId="38" xfId="2" applyFont="1" applyBorder="1" applyAlignment="1">
      <alignment horizontal="center" vertical="center" wrapText="1"/>
    </xf>
    <xf numFmtId="0" fontId="19" fillId="0" borderId="39" xfId="2" applyFont="1" applyBorder="1" applyAlignment="1">
      <alignment horizontal="center" vertical="center" wrapText="1"/>
    </xf>
    <xf numFmtId="0" fontId="19" fillId="0" borderId="40" xfId="2" applyFont="1" applyBorder="1" applyAlignment="1">
      <alignment horizontal="center" vertical="center" wrapText="1"/>
    </xf>
    <xf numFmtId="0" fontId="19" fillId="0" borderId="41" xfId="2" applyFont="1" applyBorder="1" applyAlignment="1">
      <alignment horizontal="left" vertical="center"/>
    </xf>
    <xf numFmtId="0" fontId="19" fillId="0" borderId="39" xfId="2" applyFont="1" applyBorder="1" applyAlignment="1">
      <alignment horizontal="left" vertical="center"/>
    </xf>
    <xf numFmtId="0" fontId="19" fillId="0" borderId="40" xfId="2" applyFont="1" applyBorder="1" applyAlignment="1">
      <alignment horizontal="left" vertical="center"/>
    </xf>
    <xf numFmtId="0" fontId="12" fillId="0" borderId="0" xfId="2" applyFont="1" applyAlignment="1">
      <alignment horizontal="left" vertical="top"/>
    </xf>
    <xf numFmtId="0" fontId="22" fillId="0" borderId="9" xfId="2" applyFont="1" applyBorder="1" applyAlignment="1">
      <alignment horizontal="left" vertical="center"/>
    </xf>
    <xf numFmtId="0" fontId="22" fillId="0" borderId="10" xfId="2" applyFont="1" applyBorder="1" applyAlignment="1">
      <alignment horizontal="left" vertical="center"/>
    </xf>
    <xf numFmtId="0" fontId="22" fillId="0" borderId="11" xfId="2" applyFont="1" applyBorder="1" applyAlignment="1">
      <alignment horizontal="left" vertical="center"/>
    </xf>
  </cellXfs>
  <cellStyles count="3">
    <cellStyle name="표준" xfId="0" builtinId="0"/>
    <cellStyle name="표준_99년 제안양식" xfId="2" xr:uid="{B3C7A9CB-D607-4EA8-B737-CA23553C4E40}"/>
    <cellStyle name="표준_제안지침" xfId="1" xr:uid="{4CDD0B56-A3EB-4E30-9606-26DF4EBA3DFE}"/>
  </cellStyles>
  <dxfs count="15"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27" formatCode="yyyy/mm/dd\ h:mm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fmlaLink="$O$19" lockText="1" noThreeD="1"/>
</file>

<file path=xl/ctrlProps/ctrlProp2.xml><?xml version="1.0" encoding="utf-8"?>
<formControlPr xmlns="http://schemas.microsoft.com/office/spreadsheetml/2009/9/main" objectType="CheckBox" fmlaLink="$O$21" lockText="1" noThreeD="1"/>
</file>

<file path=xl/ctrlProps/ctrlProp3.xml><?xml version="1.0" encoding="utf-8"?>
<formControlPr xmlns="http://schemas.microsoft.com/office/spreadsheetml/2009/9/main" objectType="CheckBox" fmlaLink="$O$22" lockText="1" noThreeD="1"/>
</file>

<file path=xl/ctrlProps/ctrlProp4.xml><?xml version="1.0" encoding="utf-8"?>
<formControlPr xmlns="http://schemas.microsoft.com/office/spreadsheetml/2009/9/main" objectType="CheckBox" fmlaLink="$O$23" lockText="1" noThreeD="1"/>
</file>

<file path=xl/ctrlProps/ctrlProp5.xml><?xml version="1.0" encoding="utf-8"?>
<formControlPr xmlns="http://schemas.microsoft.com/office/spreadsheetml/2009/9/main" objectType="CheckBox" fmlaLink="$O$24" lockText="1" noThreeD="1"/>
</file>

<file path=xl/ctrlProps/ctrlProp6.xml><?xml version="1.0" encoding="utf-8"?>
<formControlPr xmlns="http://schemas.microsoft.com/office/spreadsheetml/2009/9/main" objectType="CheckBox" fmlaLink="$O$25" lockText="1" noThreeD="1"/>
</file>

<file path=xl/ctrlProps/ctrlProp7.xml><?xml version="1.0" encoding="utf-8"?>
<formControlPr xmlns="http://schemas.microsoft.com/office/spreadsheetml/2009/9/main" objectType="CheckBox" fmlaLink="$O$20" lockText="1" noThreeD="1"/>
</file>

<file path=xl/ctrlProps/ctrlProp8.xml><?xml version="1.0" encoding="utf-8"?>
<formControlPr xmlns="http://schemas.microsoft.com/office/spreadsheetml/2009/9/main" objectType="CheckBox" checked="Checked" fmlaLink="$O$26" lockText="1" noThreeD="1"/>
</file>

<file path=xl/ctrlProps/ctrlProp9.xml><?xml version="1.0" encoding="utf-8"?>
<formControlPr xmlns="http://schemas.microsoft.com/office/spreadsheetml/2009/9/main" objectType="CheckBox" fmlaLink="$Q$19" lockText="1" noThreeD="1"/>
</file>

<file path=xl/ctrlProps/ctrlProp10.xml><?xml version="1.0" encoding="utf-8"?>
<formControlPr xmlns="http://schemas.microsoft.com/office/spreadsheetml/2009/9/main" objectType="CheckBox" checked="Checked" fmlaLink="$Q$20" lockText="1" noThreeD="1"/>
</file>

<file path=xl/ctrlProps/ctrlProp11.xml><?xml version="1.0" encoding="utf-8"?>
<formControlPr xmlns="http://schemas.microsoft.com/office/spreadsheetml/2009/9/main" objectType="CheckBox" fmlaLink="$S$19" lockText="1" noThreeD="1"/>
</file>

<file path=xl/ctrlProps/ctrlProp12.xml><?xml version="1.0" encoding="utf-8"?>
<formControlPr xmlns="http://schemas.microsoft.com/office/spreadsheetml/2009/9/main" objectType="CheckBox" checked="Checked" fmlaLink="$S$20" lockText="1" noThreeD="1"/>
</file>

<file path=xl/ctrlProps/ctrlProp13.xml><?xml version="1.0" encoding="utf-8"?>
<formControlPr xmlns="http://schemas.microsoft.com/office/spreadsheetml/2009/9/main" objectType="CheckBox" fmlaLink="$S$21" lockText="1" noThreeD="1"/>
</file>

<file path=xl/ctrlProps/ctrlProp14.xml><?xml version="1.0" encoding="utf-8"?>
<formControlPr xmlns="http://schemas.microsoft.com/office/spreadsheetml/2009/9/main" objectType="CheckBox" fmlaLink="$S$22" lockText="1" noThreeD="1"/>
</file>

<file path=xl/ctrlProps/ctrlProp15.xml><?xml version="1.0" encoding="utf-8"?>
<formControlPr xmlns="http://schemas.microsoft.com/office/spreadsheetml/2009/9/main" objectType="CheckBox" fmlaLink="$M$34" lockText="1" noThreeD="1"/>
</file>

<file path=xl/ctrlProps/ctrlProp16.xml><?xml version="1.0" encoding="utf-8"?>
<formControlPr xmlns="http://schemas.microsoft.com/office/spreadsheetml/2009/9/main" objectType="CheckBox" fmlaLink="$M$35" lockText="1" noThreeD="1"/>
</file>

<file path=xl/ctrlProps/ctrlProp17.xml><?xml version="1.0" encoding="utf-8"?>
<formControlPr xmlns="http://schemas.microsoft.com/office/spreadsheetml/2009/9/main" objectType="CheckBox" fmlaLink="$M$28" lockText="1" noThreeD="1"/>
</file>

<file path=xl/ctrlProps/ctrlProp18.xml><?xml version="1.0" encoding="utf-8"?>
<formControlPr xmlns="http://schemas.microsoft.com/office/spreadsheetml/2009/9/main" objectType="CheckBox" fmlaLink="$M$29" lockText="1" noThreeD="1"/>
</file>

<file path=xl/ctrlProps/ctrlProp19.xml><?xml version="1.0" encoding="utf-8"?>
<formControlPr xmlns="http://schemas.microsoft.com/office/spreadsheetml/2009/9/main" objectType="CheckBox" fmlaLink="$M$30" lockText="1" noThreeD="1"/>
</file>

<file path=xl/ctrlProps/ctrlProp20.xml><?xml version="1.0" encoding="utf-8"?>
<formControlPr xmlns="http://schemas.microsoft.com/office/spreadsheetml/2009/9/main" objectType="CheckBox" fmlaLink="$M$31" lockText="1" noThreeD="1"/>
</file>

<file path=xl/ctrlProps/ctrlProp21.xml><?xml version="1.0" encoding="utf-8"?>
<formControlPr xmlns="http://schemas.microsoft.com/office/spreadsheetml/2009/9/main" objectType="CheckBox" fmlaLink="$M$32" lockText="1" noThreeD="1"/>
</file>

<file path=xl/ctrlProps/ctrlProp22.xml><?xml version="1.0" encoding="utf-8"?>
<formControlPr xmlns="http://schemas.microsoft.com/office/spreadsheetml/2009/9/main" objectType="CheckBox" fmlaLink="$M$33" lockText="1" noThreeD="1"/>
</file>

<file path=xl/ctrlProps/ctrlProp23.xml><?xml version="1.0" encoding="utf-8"?>
<formControlPr xmlns="http://schemas.microsoft.com/office/spreadsheetml/2009/9/main" objectType="CheckBox" fmlaLink="$M$36" lockText="1" noThreeD="1"/>
</file>

<file path=xl/ctrlProps/ctrlProp24.xml><?xml version="1.0" encoding="utf-8"?>
<formControlPr xmlns="http://schemas.microsoft.com/office/spreadsheetml/2009/9/main" objectType="CheckBox" fmlaLink="$Q$21" lockText="1" noThreeD="1"/>
</file>

<file path=xl/ctrlProps/ctrlProp25.xml><?xml version="1.0" encoding="utf-8"?>
<formControlPr xmlns="http://schemas.microsoft.com/office/spreadsheetml/2009/9/main" objectType="CheckBox" fmlaLink="$Q$22" lockText="1" noThreeD="1"/>
</file>

<file path=xl/ctrlProps/ctrlProp26.xml><?xml version="1.0" encoding="utf-8"?>
<formControlPr xmlns="http://schemas.microsoft.com/office/spreadsheetml/2009/9/main" objectType="CheckBox" fmlaLink="$M$25" lockText="1" noThreeD="1"/>
</file>

<file path=xl/ctrlProps/ctrlProp27.xml><?xml version="1.0" encoding="utf-8"?>
<formControlPr xmlns="http://schemas.microsoft.com/office/spreadsheetml/2009/9/main" objectType="CheckBox" fmlaLink="$M$26" lockText="1" noThreeD="1"/>
</file>

<file path=xl/ctrlProps/ctrlProp28.xml><?xml version="1.0" encoding="utf-8"?>
<formControlPr xmlns="http://schemas.microsoft.com/office/spreadsheetml/2009/9/main" objectType="CheckBox" fmlaLink="$M$19" lockText="1" noThreeD="1"/>
</file>

<file path=xl/ctrlProps/ctrlProp29.xml><?xml version="1.0" encoding="utf-8"?>
<formControlPr xmlns="http://schemas.microsoft.com/office/spreadsheetml/2009/9/main" objectType="CheckBox" fmlaLink="$M$20" lockText="1" noThreeD="1"/>
</file>

<file path=xl/ctrlProps/ctrlProp30.xml><?xml version="1.0" encoding="utf-8"?>
<formControlPr xmlns="http://schemas.microsoft.com/office/spreadsheetml/2009/9/main" objectType="CheckBox" checked="Checked" fmlaLink="$M$21" lockText="1" noThreeD="1"/>
</file>

<file path=xl/ctrlProps/ctrlProp31.xml><?xml version="1.0" encoding="utf-8"?>
<formControlPr xmlns="http://schemas.microsoft.com/office/spreadsheetml/2009/9/main" objectType="CheckBox" fmlaLink="$M$22" lockText="1" noThreeD="1"/>
</file>

<file path=xl/ctrlProps/ctrlProp32.xml><?xml version="1.0" encoding="utf-8"?>
<formControlPr xmlns="http://schemas.microsoft.com/office/spreadsheetml/2009/9/main" objectType="CheckBox" fmlaLink="$M$23" lockText="1" noThreeD="1"/>
</file>

<file path=xl/ctrlProps/ctrlProp33.xml><?xml version="1.0" encoding="utf-8"?>
<formControlPr xmlns="http://schemas.microsoft.com/office/spreadsheetml/2009/9/main" objectType="CheckBox" fmlaLink="$M$24" lockText="1" noThreeD="1"/>
</file>

<file path=xl/ctrlProps/ctrlProp34.xml><?xml version="1.0" encoding="utf-8"?>
<formControlPr xmlns="http://schemas.microsoft.com/office/spreadsheetml/2009/9/main" objectType="CheckBox" fmlaLink="$M$27" lockText="1" noThreeD="1"/>
</file>

<file path=xl/ctrlProps/ctrlProp35.xml><?xml version="1.0" encoding="utf-8"?>
<formControlPr xmlns="http://schemas.microsoft.com/office/spreadsheetml/2009/9/main" objectType="CheckBox" fmlaLink="$K$34" lockText="1" noThreeD="1"/>
</file>

<file path=xl/ctrlProps/ctrlProp36.xml><?xml version="1.0" encoding="utf-8"?>
<formControlPr xmlns="http://schemas.microsoft.com/office/spreadsheetml/2009/9/main" objectType="CheckBox" fmlaLink="$K$35" lockText="1" noThreeD="1"/>
</file>

<file path=xl/ctrlProps/ctrlProp37.xml><?xml version="1.0" encoding="utf-8"?>
<formControlPr xmlns="http://schemas.microsoft.com/office/spreadsheetml/2009/9/main" objectType="CheckBox" fmlaLink="$K$28" lockText="1" noThreeD="1"/>
</file>

<file path=xl/ctrlProps/ctrlProp38.xml><?xml version="1.0" encoding="utf-8"?>
<formControlPr xmlns="http://schemas.microsoft.com/office/spreadsheetml/2009/9/main" objectType="CheckBox" fmlaLink="$K$29" lockText="1" noThreeD="1"/>
</file>

<file path=xl/ctrlProps/ctrlProp39.xml><?xml version="1.0" encoding="utf-8"?>
<formControlPr xmlns="http://schemas.microsoft.com/office/spreadsheetml/2009/9/main" objectType="CheckBox" fmlaLink="$K$30" lockText="1" noThreeD="1"/>
</file>

<file path=xl/ctrlProps/ctrlProp40.xml><?xml version="1.0" encoding="utf-8"?>
<formControlPr xmlns="http://schemas.microsoft.com/office/spreadsheetml/2009/9/main" objectType="CheckBox" fmlaLink="$K$31" lockText="1" noThreeD="1"/>
</file>

<file path=xl/ctrlProps/ctrlProp41.xml><?xml version="1.0" encoding="utf-8"?>
<formControlPr xmlns="http://schemas.microsoft.com/office/spreadsheetml/2009/9/main" objectType="CheckBox" fmlaLink="$K$32" lockText="1" noThreeD="1"/>
</file>

<file path=xl/ctrlProps/ctrlProp42.xml><?xml version="1.0" encoding="utf-8"?>
<formControlPr xmlns="http://schemas.microsoft.com/office/spreadsheetml/2009/9/main" objectType="CheckBox" fmlaLink="$K$33" lockText="1" noThreeD="1"/>
</file>

<file path=xl/ctrlProps/ctrlProp43.xml><?xml version="1.0" encoding="utf-8"?>
<formControlPr xmlns="http://schemas.microsoft.com/office/spreadsheetml/2009/9/main" objectType="CheckBox" fmlaLink="$K$36" lockText="1" noThreeD="1"/>
</file>

<file path=xl/ctrlProps/ctrlProp44.xml><?xml version="1.0" encoding="utf-8"?>
<formControlPr xmlns="http://schemas.microsoft.com/office/spreadsheetml/2009/9/main" objectType="CheckBox" fmlaLink="$K$25" lockText="1" noThreeD="1"/>
</file>

<file path=xl/ctrlProps/ctrlProp45.xml><?xml version="1.0" encoding="utf-8"?>
<formControlPr xmlns="http://schemas.microsoft.com/office/spreadsheetml/2009/9/main" objectType="CheckBox" fmlaLink="$K$26" lockText="1" noThreeD="1"/>
</file>

<file path=xl/ctrlProps/ctrlProp46.xml><?xml version="1.0" encoding="utf-8"?>
<formControlPr xmlns="http://schemas.microsoft.com/office/spreadsheetml/2009/9/main" objectType="CheckBox" fmlaLink="$K$19" lockText="1" noThreeD="1"/>
</file>

<file path=xl/ctrlProps/ctrlProp47.xml><?xml version="1.0" encoding="utf-8"?>
<formControlPr xmlns="http://schemas.microsoft.com/office/spreadsheetml/2009/9/main" objectType="CheckBox" checked="Checked" fmlaLink="$K$20" lockText="1" noThreeD="1"/>
</file>

<file path=xl/ctrlProps/ctrlProp48.xml><?xml version="1.0" encoding="utf-8"?>
<formControlPr xmlns="http://schemas.microsoft.com/office/spreadsheetml/2009/9/main" objectType="CheckBox" fmlaLink="$K$21" lockText="1" noThreeD="1"/>
</file>

<file path=xl/ctrlProps/ctrlProp49.xml><?xml version="1.0" encoding="utf-8"?>
<formControlPr xmlns="http://schemas.microsoft.com/office/spreadsheetml/2009/9/main" objectType="CheckBox" fmlaLink="$K$22" lockText="1" noThreeD="1"/>
</file>

<file path=xl/ctrlProps/ctrlProp50.xml><?xml version="1.0" encoding="utf-8"?>
<formControlPr xmlns="http://schemas.microsoft.com/office/spreadsheetml/2009/9/main" objectType="CheckBox" fmlaLink="$K$23" lockText="1" noThreeD="1"/>
</file>

<file path=xl/ctrlProps/ctrlProp51.xml><?xml version="1.0" encoding="utf-8"?>
<formControlPr xmlns="http://schemas.microsoft.com/office/spreadsheetml/2009/9/main" objectType="CheckBox" fmlaLink="$K$24" lockText="1" noThreeD="1"/>
</file>

<file path=xl/ctrlProps/ctrlProp52.xml><?xml version="1.0" encoding="utf-8"?>
<formControlPr xmlns="http://schemas.microsoft.com/office/spreadsheetml/2009/9/main" objectType="CheckBox" fmlaLink="$K$27" lockText="1" noThreeD="1"/>
</file>

<file path=xl/ctrlProps/ctrlProp53.xml><?xml version="1.0" encoding="utf-8"?>
<formControlPr xmlns="http://schemas.microsoft.com/office/spreadsheetml/2009/9/main" objectType="CheckBox" fmlaLink="$O$19" lockText="1" noThreeD="1"/>
</file>

<file path=xl/ctrlProps/ctrlProp54.xml><?xml version="1.0" encoding="utf-8"?>
<formControlPr xmlns="http://schemas.microsoft.com/office/spreadsheetml/2009/9/main" objectType="CheckBox" fmlaLink="$O$21" lockText="1" noThreeD="1"/>
</file>

<file path=xl/ctrlProps/ctrlProp55.xml><?xml version="1.0" encoding="utf-8"?>
<formControlPr xmlns="http://schemas.microsoft.com/office/spreadsheetml/2009/9/main" objectType="CheckBox" fmlaLink="$O$22" lockText="1" noThreeD="1"/>
</file>

<file path=xl/ctrlProps/ctrlProp56.xml><?xml version="1.0" encoding="utf-8"?>
<formControlPr xmlns="http://schemas.microsoft.com/office/spreadsheetml/2009/9/main" objectType="CheckBox" checked="Checked" fmlaLink="$O$23" lockText="1" noThreeD="1"/>
</file>

<file path=xl/ctrlProps/ctrlProp57.xml><?xml version="1.0" encoding="utf-8"?>
<formControlPr xmlns="http://schemas.microsoft.com/office/spreadsheetml/2009/9/main" objectType="CheckBox" fmlaLink="$O$24" lockText="1" noThreeD="1"/>
</file>

<file path=xl/ctrlProps/ctrlProp58.xml><?xml version="1.0" encoding="utf-8"?>
<formControlPr xmlns="http://schemas.microsoft.com/office/spreadsheetml/2009/9/main" objectType="CheckBox" fmlaLink="$O$25" lockText="1" noThreeD="1"/>
</file>

<file path=xl/ctrlProps/ctrlProp59.xml><?xml version="1.0" encoding="utf-8"?>
<formControlPr xmlns="http://schemas.microsoft.com/office/spreadsheetml/2009/9/main" objectType="CheckBox" fmlaLink="$O$20" lockText="1" noThreeD="1"/>
</file>

<file path=xl/ctrlProps/ctrlProp60.xml><?xml version="1.0" encoding="utf-8"?>
<formControlPr xmlns="http://schemas.microsoft.com/office/spreadsheetml/2009/9/main" objectType="CheckBox" fmlaLink="$O$26" lockText="1" noThreeD="1"/>
</file>

<file path=xl/ctrlProps/ctrlProp61.xml><?xml version="1.0" encoding="utf-8"?>
<formControlPr xmlns="http://schemas.microsoft.com/office/spreadsheetml/2009/9/main" objectType="CheckBox" checked="Checked" fmlaLink="$Q$19" lockText="1" noThreeD="1"/>
</file>

<file path=xl/ctrlProps/ctrlProp62.xml><?xml version="1.0" encoding="utf-8"?>
<formControlPr xmlns="http://schemas.microsoft.com/office/spreadsheetml/2009/9/main" objectType="CheckBox" fmlaLink="$Q$20" lockText="1" noThreeD="1"/>
</file>

<file path=xl/ctrlProps/ctrlProp63.xml><?xml version="1.0" encoding="utf-8"?>
<formControlPr xmlns="http://schemas.microsoft.com/office/spreadsheetml/2009/9/main" objectType="CheckBox" checked="Checked" fmlaLink="$S$19" lockText="1" noThreeD="1"/>
</file>

<file path=xl/ctrlProps/ctrlProp64.xml><?xml version="1.0" encoding="utf-8"?>
<formControlPr xmlns="http://schemas.microsoft.com/office/spreadsheetml/2009/9/main" objectType="CheckBox" fmlaLink="$S$20" lockText="1" noThreeD="1"/>
</file>

<file path=xl/ctrlProps/ctrlProp65.xml><?xml version="1.0" encoding="utf-8"?>
<formControlPr xmlns="http://schemas.microsoft.com/office/spreadsheetml/2009/9/main" objectType="CheckBox" fmlaLink="$S$21" lockText="1" noThreeD="1"/>
</file>

<file path=xl/ctrlProps/ctrlProp66.xml><?xml version="1.0" encoding="utf-8"?>
<formControlPr xmlns="http://schemas.microsoft.com/office/spreadsheetml/2009/9/main" objectType="CheckBox" fmlaLink="$S$22" lockText="1" noThreeD="1"/>
</file>

<file path=xl/ctrlProps/ctrlProp67.xml><?xml version="1.0" encoding="utf-8"?>
<formControlPr xmlns="http://schemas.microsoft.com/office/spreadsheetml/2009/9/main" objectType="CheckBox" fmlaLink="$M$34" lockText="1" noThreeD="1"/>
</file>

<file path=xl/ctrlProps/ctrlProp68.xml><?xml version="1.0" encoding="utf-8"?>
<formControlPr xmlns="http://schemas.microsoft.com/office/spreadsheetml/2009/9/main" objectType="CheckBox" fmlaLink="$M$35" lockText="1" noThreeD="1"/>
</file>

<file path=xl/ctrlProps/ctrlProp69.xml><?xml version="1.0" encoding="utf-8"?>
<formControlPr xmlns="http://schemas.microsoft.com/office/spreadsheetml/2009/9/main" objectType="CheckBox" fmlaLink="$M$28" lockText="1" noThreeD="1"/>
</file>

<file path=xl/ctrlProps/ctrlProp70.xml><?xml version="1.0" encoding="utf-8"?>
<formControlPr xmlns="http://schemas.microsoft.com/office/spreadsheetml/2009/9/main" objectType="CheckBox" fmlaLink="$M$29" lockText="1" noThreeD="1"/>
</file>

<file path=xl/ctrlProps/ctrlProp71.xml><?xml version="1.0" encoding="utf-8"?>
<formControlPr xmlns="http://schemas.microsoft.com/office/spreadsheetml/2009/9/main" objectType="CheckBox" fmlaLink="$M$30" lockText="1" noThreeD="1"/>
</file>

<file path=xl/ctrlProps/ctrlProp72.xml><?xml version="1.0" encoding="utf-8"?>
<formControlPr xmlns="http://schemas.microsoft.com/office/spreadsheetml/2009/9/main" objectType="CheckBox" fmlaLink="$M$31" lockText="1" noThreeD="1"/>
</file>

<file path=xl/ctrlProps/ctrlProp73.xml><?xml version="1.0" encoding="utf-8"?>
<formControlPr xmlns="http://schemas.microsoft.com/office/spreadsheetml/2009/9/main" objectType="CheckBox" fmlaLink="$M$32" lockText="1" noThreeD="1"/>
</file>

<file path=xl/ctrlProps/ctrlProp74.xml><?xml version="1.0" encoding="utf-8"?>
<formControlPr xmlns="http://schemas.microsoft.com/office/spreadsheetml/2009/9/main" objectType="CheckBox" fmlaLink="$M$33" lockText="1" noThreeD="1"/>
</file>

<file path=xl/ctrlProps/ctrlProp75.xml><?xml version="1.0" encoding="utf-8"?>
<formControlPr xmlns="http://schemas.microsoft.com/office/spreadsheetml/2009/9/main" objectType="CheckBox" fmlaLink="$M$36" lockText="1" noThreeD="1"/>
</file>

<file path=xl/ctrlProps/ctrlProp76.xml><?xml version="1.0" encoding="utf-8"?>
<formControlPr xmlns="http://schemas.microsoft.com/office/spreadsheetml/2009/9/main" objectType="CheckBox" fmlaLink="$Q$21" lockText="1" noThreeD="1"/>
</file>

<file path=xl/ctrlProps/ctrlProp77.xml><?xml version="1.0" encoding="utf-8"?>
<formControlPr xmlns="http://schemas.microsoft.com/office/spreadsheetml/2009/9/main" objectType="CheckBox" fmlaLink="$Q$22" lockText="1" noThreeD="1"/>
</file>

<file path=xl/ctrlProps/ctrlProp78.xml><?xml version="1.0" encoding="utf-8"?>
<formControlPr xmlns="http://schemas.microsoft.com/office/spreadsheetml/2009/9/main" objectType="CheckBox" fmlaLink="$M$25" lockText="1" noThreeD="1"/>
</file>

<file path=xl/ctrlProps/ctrlProp79.xml><?xml version="1.0" encoding="utf-8"?>
<formControlPr xmlns="http://schemas.microsoft.com/office/spreadsheetml/2009/9/main" objectType="CheckBox" fmlaLink="$M$26" lockText="1" noThreeD="1"/>
</file>

<file path=xl/ctrlProps/ctrlProp80.xml><?xml version="1.0" encoding="utf-8"?>
<formControlPr xmlns="http://schemas.microsoft.com/office/spreadsheetml/2009/9/main" objectType="CheckBox" fmlaLink="$M$19" lockText="1" noThreeD="1"/>
</file>

<file path=xl/ctrlProps/ctrlProp81.xml><?xml version="1.0" encoding="utf-8"?>
<formControlPr xmlns="http://schemas.microsoft.com/office/spreadsheetml/2009/9/main" objectType="CheckBox" fmlaLink="$M$20" lockText="1" noThreeD="1"/>
</file>

<file path=xl/ctrlProps/ctrlProp82.xml><?xml version="1.0" encoding="utf-8"?>
<formControlPr xmlns="http://schemas.microsoft.com/office/spreadsheetml/2009/9/main" objectType="CheckBox" fmlaLink="$M$21" lockText="1" noThreeD="1"/>
</file>

<file path=xl/ctrlProps/ctrlProp83.xml><?xml version="1.0" encoding="utf-8"?>
<formControlPr xmlns="http://schemas.microsoft.com/office/spreadsheetml/2009/9/main" objectType="CheckBox" fmlaLink="$M$22" lockText="1" noThreeD="1"/>
</file>

<file path=xl/ctrlProps/ctrlProp84.xml><?xml version="1.0" encoding="utf-8"?>
<formControlPr xmlns="http://schemas.microsoft.com/office/spreadsheetml/2009/9/main" objectType="CheckBox" fmlaLink="$M$23" lockText="1" noThreeD="1"/>
</file>

<file path=xl/ctrlProps/ctrlProp85.xml><?xml version="1.0" encoding="utf-8"?>
<formControlPr xmlns="http://schemas.microsoft.com/office/spreadsheetml/2009/9/main" objectType="CheckBox" fmlaLink="$M$24" lockText="1" noThreeD="1"/>
</file>

<file path=xl/ctrlProps/ctrlProp86.xml><?xml version="1.0" encoding="utf-8"?>
<formControlPr xmlns="http://schemas.microsoft.com/office/spreadsheetml/2009/9/main" objectType="CheckBox" checked="Checked" fmlaLink="$M$27" lockText="1" noThreeD="1"/>
</file>

<file path=xl/ctrlProps/ctrlProp87.xml><?xml version="1.0" encoding="utf-8"?>
<formControlPr xmlns="http://schemas.microsoft.com/office/spreadsheetml/2009/9/main" objectType="CheckBox" fmlaLink="$K$34" lockText="1" noThreeD="1"/>
</file>

<file path=xl/ctrlProps/ctrlProp88.xml><?xml version="1.0" encoding="utf-8"?>
<formControlPr xmlns="http://schemas.microsoft.com/office/spreadsheetml/2009/9/main" objectType="CheckBox" fmlaLink="$K$35" lockText="1" noThreeD="1"/>
</file>

<file path=xl/ctrlProps/ctrlProp89.xml><?xml version="1.0" encoding="utf-8"?>
<formControlPr xmlns="http://schemas.microsoft.com/office/spreadsheetml/2009/9/main" objectType="CheckBox" fmlaLink="$K$28" lockText="1" noThreeD="1"/>
</file>

<file path=xl/ctrlProps/ctrlProp90.xml><?xml version="1.0" encoding="utf-8"?>
<formControlPr xmlns="http://schemas.microsoft.com/office/spreadsheetml/2009/9/main" objectType="CheckBox" fmlaLink="$K$29" lockText="1" noThreeD="1"/>
</file>

<file path=xl/ctrlProps/ctrlProp91.xml><?xml version="1.0" encoding="utf-8"?>
<formControlPr xmlns="http://schemas.microsoft.com/office/spreadsheetml/2009/9/main" objectType="CheckBox" fmlaLink="$K$30" lockText="1" noThreeD="1"/>
</file>

<file path=xl/ctrlProps/ctrlProp92.xml><?xml version="1.0" encoding="utf-8"?>
<formControlPr xmlns="http://schemas.microsoft.com/office/spreadsheetml/2009/9/main" objectType="CheckBox" fmlaLink="$K$31" lockText="1" noThreeD="1"/>
</file>

<file path=xl/ctrlProps/ctrlProp93.xml><?xml version="1.0" encoding="utf-8"?>
<formControlPr xmlns="http://schemas.microsoft.com/office/spreadsheetml/2009/9/main" objectType="CheckBox" fmlaLink="$K$32" lockText="1" noThreeD="1"/>
</file>

<file path=xl/ctrlProps/ctrlProp94.xml><?xml version="1.0" encoding="utf-8"?>
<formControlPr xmlns="http://schemas.microsoft.com/office/spreadsheetml/2009/9/main" objectType="CheckBox" fmlaLink="$K$33" lockText="1" noThreeD="1"/>
</file>

<file path=xl/ctrlProps/ctrlProp95.xml><?xml version="1.0" encoding="utf-8"?>
<formControlPr xmlns="http://schemas.microsoft.com/office/spreadsheetml/2009/9/main" objectType="CheckBox" fmlaLink="$K$36" lockText="1" noThreeD="1"/>
</file>

<file path=xl/ctrlProps/ctrlProp96.xml><?xml version="1.0" encoding="utf-8"?>
<formControlPr xmlns="http://schemas.microsoft.com/office/spreadsheetml/2009/9/main" objectType="CheckBox" fmlaLink="$K$25" lockText="1" noThreeD="1"/>
</file>

<file path=xl/ctrlProps/ctrlProp97.xml><?xml version="1.0" encoding="utf-8"?>
<formControlPr xmlns="http://schemas.microsoft.com/office/spreadsheetml/2009/9/main" objectType="CheckBox" fmlaLink="$K$26" lockText="1" noThreeD="1"/>
</file>

<file path=xl/ctrlProps/ctrlProp98.xml><?xml version="1.0" encoding="utf-8"?>
<formControlPr xmlns="http://schemas.microsoft.com/office/spreadsheetml/2009/9/main" objectType="CheckBox" fmlaLink="$K$19" lockText="1" noThreeD="1"/>
</file>

<file path=xl/ctrlProps/ctrlProp99.xml><?xml version="1.0" encoding="utf-8"?>
<formControlPr xmlns="http://schemas.microsoft.com/office/spreadsheetml/2009/9/main" objectType="CheckBox" checked="Checked" fmlaLink="$K$20" lockText="1" noThreeD="1"/>
</file>

<file path=xl/ctrlProps/ctrlProp100.xml><?xml version="1.0" encoding="utf-8"?>
<formControlPr xmlns="http://schemas.microsoft.com/office/spreadsheetml/2009/9/main" objectType="CheckBox" fmlaLink="$K$21" lockText="1" noThreeD="1"/>
</file>

<file path=xl/ctrlProps/ctrlProp101.xml><?xml version="1.0" encoding="utf-8"?>
<formControlPr xmlns="http://schemas.microsoft.com/office/spreadsheetml/2009/9/main" objectType="CheckBox" fmlaLink="$K$22" lockText="1" noThreeD="1"/>
</file>

<file path=xl/ctrlProps/ctrlProp102.xml><?xml version="1.0" encoding="utf-8"?>
<formControlPr xmlns="http://schemas.microsoft.com/office/spreadsheetml/2009/9/main" objectType="CheckBox" fmlaLink="$K$23" lockText="1" noThreeD="1"/>
</file>

<file path=xl/ctrlProps/ctrlProp103.xml><?xml version="1.0" encoding="utf-8"?>
<formControlPr xmlns="http://schemas.microsoft.com/office/spreadsheetml/2009/9/main" objectType="CheckBox" fmlaLink="$K$24" lockText="1" noThreeD="1"/>
</file>

<file path=xl/ctrlProps/ctrlProp104.xml><?xml version="1.0" encoding="utf-8"?>
<formControlPr xmlns="http://schemas.microsoft.com/office/spreadsheetml/2009/9/main" objectType="CheckBox" fmlaLink="$K$27" lockText="1" noThreeD="1"/>
</file>

<file path=xl/ctrlProps/ctrlProp105.xml><?xml version="1.0" encoding="utf-8"?>
<formControlPr xmlns="http://schemas.microsoft.com/office/spreadsheetml/2009/9/main" objectType="CheckBox" fmlaLink="$O$19" lockText="1" noThreeD="1"/>
</file>

<file path=xl/ctrlProps/ctrlProp106.xml><?xml version="1.0" encoding="utf-8"?>
<formControlPr xmlns="http://schemas.microsoft.com/office/spreadsheetml/2009/9/main" objectType="CheckBox" fmlaLink="$O$21" lockText="1" noThreeD="1"/>
</file>

<file path=xl/ctrlProps/ctrlProp107.xml><?xml version="1.0" encoding="utf-8"?>
<formControlPr xmlns="http://schemas.microsoft.com/office/spreadsheetml/2009/9/main" objectType="CheckBox" fmlaLink="$O$22" lockText="1" noThreeD="1"/>
</file>

<file path=xl/ctrlProps/ctrlProp108.xml><?xml version="1.0" encoding="utf-8"?>
<formControlPr xmlns="http://schemas.microsoft.com/office/spreadsheetml/2009/9/main" objectType="CheckBox" checked="Checked" fmlaLink="$O$23" lockText="1" noThreeD="1"/>
</file>

<file path=xl/ctrlProps/ctrlProp109.xml><?xml version="1.0" encoding="utf-8"?>
<formControlPr xmlns="http://schemas.microsoft.com/office/spreadsheetml/2009/9/main" objectType="CheckBox" fmlaLink="$O$24" lockText="1" noThreeD="1"/>
</file>

<file path=xl/ctrlProps/ctrlProp110.xml><?xml version="1.0" encoding="utf-8"?>
<formControlPr xmlns="http://schemas.microsoft.com/office/spreadsheetml/2009/9/main" objectType="CheckBox" fmlaLink="$O$25" lockText="1" noThreeD="1"/>
</file>

<file path=xl/ctrlProps/ctrlProp111.xml><?xml version="1.0" encoding="utf-8"?>
<formControlPr xmlns="http://schemas.microsoft.com/office/spreadsheetml/2009/9/main" objectType="CheckBox" fmlaLink="$O$20" lockText="1" noThreeD="1"/>
</file>

<file path=xl/ctrlProps/ctrlProp112.xml><?xml version="1.0" encoding="utf-8"?>
<formControlPr xmlns="http://schemas.microsoft.com/office/spreadsheetml/2009/9/main" objectType="CheckBox" fmlaLink="$O$26" lockText="1" noThreeD="1"/>
</file>

<file path=xl/ctrlProps/ctrlProp113.xml><?xml version="1.0" encoding="utf-8"?>
<formControlPr xmlns="http://schemas.microsoft.com/office/spreadsheetml/2009/9/main" objectType="CheckBox" fmlaLink="$Q$19" lockText="1" noThreeD="1"/>
</file>

<file path=xl/ctrlProps/ctrlProp114.xml><?xml version="1.0" encoding="utf-8"?>
<formControlPr xmlns="http://schemas.microsoft.com/office/spreadsheetml/2009/9/main" objectType="CheckBox" checked="Checked" fmlaLink="$Q$20" lockText="1" noThreeD="1"/>
</file>

<file path=xl/ctrlProps/ctrlProp115.xml><?xml version="1.0" encoding="utf-8"?>
<formControlPr xmlns="http://schemas.microsoft.com/office/spreadsheetml/2009/9/main" objectType="CheckBox" checked="Checked" fmlaLink="$S$19" lockText="1" noThreeD="1"/>
</file>

<file path=xl/ctrlProps/ctrlProp116.xml><?xml version="1.0" encoding="utf-8"?>
<formControlPr xmlns="http://schemas.microsoft.com/office/spreadsheetml/2009/9/main" objectType="CheckBox" fmlaLink="$S$20" lockText="1" noThreeD="1"/>
</file>

<file path=xl/ctrlProps/ctrlProp117.xml><?xml version="1.0" encoding="utf-8"?>
<formControlPr xmlns="http://schemas.microsoft.com/office/spreadsheetml/2009/9/main" objectType="CheckBox" fmlaLink="$S$21" lockText="1" noThreeD="1"/>
</file>

<file path=xl/ctrlProps/ctrlProp118.xml><?xml version="1.0" encoding="utf-8"?>
<formControlPr xmlns="http://schemas.microsoft.com/office/spreadsheetml/2009/9/main" objectType="CheckBox" fmlaLink="$S$22" lockText="1" noThreeD="1"/>
</file>

<file path=xl/ctrlProps/ctrlProp119.xml><?xml version="1.0" encoding="utf-8"?>
<formControlPr xmlns="http://schemas.microsoft.com/office/spreadsheetml/2009/9/main" objectType="CheckBox" fmlaLink="$M$34" lockText="1" noThreeD="1"/>
</file>

<file path=xl/ctrlProps/ctrlProp120.xml><?xml version="1.0" encoding="utf-8"?>
<formControlPr xmlns="http://schemas.microsoft.com/office/spreadsheetml/2009/9/main" objectType="CheckBox" fmlaLink="$M$35" lockText="1" noThreeD="1"/>
</file>

<file path=xl/ctrlProps/ctrlProp121.xml><?xml version="1.0" encoding="utf-8"?>
<formControlPr xmlns="http://schemas.microsoft.com/office/spreadsheetml/2009/9/main" objectType="CheckBox" fmlaLink="$M$28" lockText="1" noThreeD="1"/>
</file>

<file path=xl/ctrlProps/ctrlProp122.xml><?xml version="1.0" encoding="utf-8"?>
<formControlPr xmlns="http://schemas.microsoft.com/office/spreadsheetml/2009/9/main" objectType="CheckBox" fmlaLink="$M$29" lockText="1" noThreeD="1"/>
</file>

<file path=xl/ctrlProps/ctrlProp123.xml><?xml version="1.0" encoding="utf-8"?>
<formControlPr xmlns="http://schemas.microsoft.com/office/spreadsheetml/2009/9/main" objectType="CheckBox" fmlaLink="$M$30" lockText="1" noThreeD="1"/>
</file>

<file path=xl/ctrlProps/ctrlProp124.xml><?xml version="1.0" encoding="utf-8"?>
<formControlPr xmlns="http://schemas.microsoft.com/office/spreadsheetml/2009/9/main" objectType="CheckBox" fmlaLink="$M$31" lockText="1" noThreeD="1"/>
</file>

<file path=xl/ctrlProps/ctrlProp125.xml><?xml version="1.0" encoding="utf-8"?>
<formControlPr xmlns="http://schemas.microsoft.com/office/spreadsheetml/2009/9/main" objectType="CheckBox" fmlaLink="$M$32" lockText="1" noThreeD="1"/>
</file>

<file path=xl/ctrlProps/ctrlProp126.xml><?xml version="1.0" encoding="utf-8"?>
<formControlPr xmlns="http://schemas.microsoft.com/office/spreadsheetml/2009/9/main" objectType="CheckBox" checked="Checked" fmlaLink="$M$33" lockText="1" noThreeD="1"/>
</file>

<file path=xl/ctrlProps/ctrlProp127.xml><?xml version="1.0" encoding="utf-8"?>
<formControlPr xmlns="http://schemas.microsoft.com/office/spreadsheetml/2009/9/main" objectType="CheckBox" fmlaLink="$M$36" lockText="1" noThreeD="1"/>
</file>

<file path=xl/ctrlProps/ctrlProp128.xml><?xml version="1.0" encoding="utf-8"?>
<formControlPr xmlns="http://schemas.microsoft.com/office/spreadsheetml/2009/9/main" objectType="CheckBox" fmlaLink="$Q$21" lockText="1" noThreeD="1"/>
</file>

<file path=xl/ctrlProps/ctrlProp129.xml><?xml version="1.0" encoding="utf-8"?>
<formControlPr xmlns="http://schemas.microsoft.com/office/spreadsheetml/2009/9/main" objectType="CheckBox" fmlaLink="$Q$22" lockText="1" noThreeD="1"/>
</file>

<file path=xl/ctrlProps/ctrlProp130.xml><?xml version="1.0" encoding="utf-8"?>
<formControlPr xmlns="http://schemas.microsoft.com/office/spreadsheetml/2009/9/main" objectType="CheckBox" fmlaLink="$M$25" lockText="1" noThreeD="1"/>
</file>

<file path=xl/ctrlProps/ctrlProp131.xml><?xml version="1.0" encoding="utf-8"?>
<formControlPr xmlns="http://schemas.microsoft.com/office/spreadsheetml/2009/9/main" objectType="CheckBox" fmlaLink="$M$26" lockText="1" noThreeD="1"/>
</file>

<file path=xl/ctrlProps/ctrlProp132.xml><?xml version="1.0" encoding="utf-8"?>
<formControlPr xmlns="http://schemas.microsoft.com/office/spreadsheetml/2009/9/main" objectType="CheckBox" fmlaLink="$M$19" lockText="1" noThreeD="1"/>
</file>

<file path=xl/ctrlProps/ctrlProp133.xml><?xml version="1.0" encoding="utf-8"?>
<formControlPr xmlns="http://schemas.microsoft.com/office/spreadsheetml/2009/9/main" objectType="CheckBox" fmlaLink="$M$20" lockText="1" noThreeD="1"/>
</file>

<file path=xl/ctrlProps/ctrlProp134.xml><?xml version="1.0" encoding="utf-8"?>
<formControlPr xmlns="http://schemas.microsoft.com/office/spreadsheetml/2009/9/main" objectType="CheckBox" fmlaLink="$M$21" lockText="1" noThreeD="1"/>
</file>

<file path=xl/ctrlProps/ctrlProp135.xml><?xml version="1.0" encoding="utf-8"?>
<formControlPr xmlns="http://schemas.microsoft.com/office/spreadsheetml/2009/9/main" objectType="CheckBox" fmlaLink="$M$22" lockText="1" noThreeD="1"/>
</file>

<file path=xl/ctrlProps/ctrlProp136.xml><?xml version="1.0" encoding="utf-8"?>
<formControlPr xmlns="http://schemas.microsoft.com/office/spreadsheetml/2009/9/main" objectType="CheckBox" fmlaLink="$M$23" lockText="1" noThreeD="1"/>
</file>

<file path=xl/ctrlProps/ctrlProp137.xml><?xml version="1.0" encoding="utf-8"?>
<formControlPr xmlns="http://schemas.microsoft.com/office/spreadsheetml/2009/9/main" objectType="CheckBox" fmlaLink="$M$24" lockText="1" noThreeD="1"/>
</file>

<file path=xl/ctrlProps/ctrlProp138.xml><?xml version="1.0" encoding="utf-8"?>
<formControlPr xmlns="http://schemas.microsoft.com/office/spreadsheetml/2009/9/main" objectType="CheckBox" fmlaLink="$M$27" lockText="1" noThreeD="1"/>
</file>

<file path=xl/ctrlProps/ctrlProp139.xml><?xml version="1.0" encoding="utf-8"?>
<formControlPr xmlns="http://schemas.microsoft.com/office/spreadsheetml/2009/9/main" objectType="CheckBox" checked="Checked" fmlaLink="$K$34" lockText="1" noThreeD="1"/>
</file>

<file path=xl/ctrlProps/ctrlProp140.xml><?xml version="1.0" encoding="utf-8"?>
<formControlPr xmlns="http://schemas.microsoft.com/office/spreadsheetml/2009/9/main" objectType="CheckBox" fmlaLink="$K$35" lockText="1" noThreeD="1"/>
</file>

<file path=xl/ctrlProps/ctrlProp141.xml><?xml version="1.0" encoding="utf-8"?>
<formControlPr xmlns="http://schemas.microsoft.com/office/spreadsheetml/2009/9/main" objectType="CheckBox" fmlaLink="$K$28" lockText="1" noThreeD="1"/>
</file>

<file path=xl/ctrlProps/ctrlProp142.xml><?xml version="1.0" encoding="utf-8"?>
<formControlPr xmlns="http://schemas.microsoft.com/office/spreadsheetml/2009/9/main" objectType="CheckBox" fmlaLink="$K$29" lockText="1" noThreeD="1"/>
</file>

<file path=xl/ctrlProps/ctrlProp143.xml><?xml version="1.0" encoding="utf-8"?>
<formControlPr xmlns="http://schemas.microsoft.com/office/spreadsheetml/2009/9/main" objectType="CheckBox" fmlaLink="$K$30" lockText="1" noThreeD="1"/>
</file>

<file path=xl/ctrlProps/ctrlProp144.xml><?xml version="1.0" encoding="utf-8"?>
<formControlPr xmlns="http://schemas.microsoft.com/office/spreadsheetml/2009/9/main" objectType="CheckBox" fmlaLink="$K$31" lockText="1" noThreeD="1"/>
</file>

<file path=xl/ctrlProps/ctrlProp145.xml><?xml version="1.0" encoding="utf-8"?>
<formControlPr xmlns="http://schemas.microsoft.com/office/spreadsheetml/2009/9/main" objectType="CheckBox" fmlaLink="$K$32" lockText="1" noThreeD="1"/>
</file>

<file path=xl/ctrlProps/ctrlProp146.xml><?xml version="1.0" encoding="utf-8"?>
<formControlPr xmlns="http://schemas.microsoft.com/office/spreadsheetml/2009/9/main" objectType="CheckBox" fmlaLink="$K$33" lockText="1" noThreeD="1"/>
</file>

<file path=xl/ctrlProps/ctrlProp147.xml><?xml version="1.0" encoding="utf-8"?>
<formControlPr xmlns="http://schemas.microsoft.com/office/spreadsheetml/2009/9/main" objectType="CheckBox" fmlaLink="$K$36" lockText="1" noThreeD="1"/>
</file>

<file path=xl/ctrlProps/ctrlProp148.xml><?xml version="1.0" encoding="utf-8"?>
<formControlPr xmlns="http://schemas.microsoft.com/office/spreadsheetml/2009/9/main" objectType="CheckBox" fmlaLink="$K$25" lockText="1" noThreeD="1"/>
</file>

<file path=xl/ctrlProps/ctrlProp149.xml><?xml version="1.0" encoding="utf-8"?>
<formControlPr xmlns="http://schemas.microsoft.com/office/spreadsheetml/2009/9/main" objectType="CheckBox" fmlaLink="$K$26" lockText="1" noThreeD="1"/>
</file>

<file path=xl/ctrlProps/ctrlProp150.xml><?xml version="1.0" encoding="utf-8"?>
<formControlPr xmlns="http://schemas.microsoft.com/office/spreadsheetml/2009/9/main" objectType="CheckBox" fmlaLink="$K$19" lockText="1" noThreeD="1"/>
</file>

<file path=xl/ctrlProps/ctrlProp151.xml><?xml version="1.0" encoding="utf-8"?>
<formControlPr xmlns="http://schemas.microsoft.com/office/spreadsheetml/2009/9/main" objectType="CheckBox" fmlaLink="$K$20" lockText="1" noThreeD="1"/>
</file>

<file path=xl/ctrlProps/ctrlProp152.xml><?xml version="1.0" encoding="utf-8"?>
<formControlPr xmlns="http://schemas.microsoft.com/office/spreadsheetml/2009/9/main" objectType="CheckBox" fmlaLink="$K$21" lockText="1" noThreeD="1"/>
</file>

<file path=xl/ctrlProps/ctrlProp153.xml><?xml version="1.0" encoding="utf-8"?>
<formControlPr xmlns="http://schemas.microsoft.com/office/spreadsheetml/2009/9/main" objectType="CheckBox" fmlaLink="$K$22" lockText="1" noThreeD="1"/>
</file>

<file path=xl/ctrlProps/ctrlProp154.xml><?xml version="1.0" encoding="utf-8"?>
<formControlPr xmlns="http://schemas.microsoft.com/office/spreadsheetml/2009/9/main" objectType="CheckBox" fmlaLink="$K$23" lockText="1" noThreeD="1"/>
</file>

<file path=xl/ctrlProps/ctrlProp155.xml><?xml version="1.0" encoding="utf-8"?>
<formControlPr xmlns="http://schemas.microsoft.com/office/spreadsheetml/2009/9/main" objectType="CheckBox" fmlaLink="$K$24" lockText="1" noThreeD="1"/>
</file>

<file path=xl/ctrlProps/ctrlProp156.xml><?xml version="1.0" encoding="utf-8"?>
<formControlPr xmlns="http://schemas.microsoft.com/office/spreadsheetml/2009/9/main" objectType="CheckBox" fmlaLink="$K$27" lockText="1" noThreeD="1"/>
</file>

<file path=xl/ctrlProps/ctrlProp157.xml><?xml version="1.0" encoding="utf-8"?>
<formControlPr xmlns="http://schemas.microsoft.com/office/spreadsheetml/2009/9/main" objectType="CheckBox" fmlaLink="$O$19" lockText="1" noThreeD="1"/>
</file>

<file path=xl/ctrlProps/ctrlProp158.xml><?xml version="1.0" encoding="utf-8"?>
<formControlPr xmlns="http://schemas.microsoft.com/office/spreadsheetml/2009/9/main" objectType="CheckBox" fmlaLink="$O$21" lockText="1" noThreeD="1"/>
</file>

<file path=xl/ctrlProps/ctrlProp159.xml><?xml version="1.0" encoding="utf-8"?>
<formControlPr xmlns="http://schemas.microsoft.com/office/spreadsheetml/2009/9/main" objectType="CheckBox" fmlaLink="$O$22" lockText="1" noThreeD="1"/>
</file>

<file path=xl/ctrlProps/ctrlProp160.xml><?xml version="1.0" encoding="utf-8"?>
<formControlPr xmlns="http://schemas.microsoft.com/office/spreadsheetml/2009/9/main" objectType="CheckBox" checked="Checked" fmlaLink="$O$23" lockText="1" noThreeD="1"/>
</file>

<file path=xl/ctrlProps/ctrlProp161.xml><?xml version="1.0" encoding="utf-8"?>
<formControlPr xmlns="http://schemas.microsoft.com/office/spreadsheetml/2009/9/main" objectType="CheckBox" fmlaLink="$O$24" lockText="1" noThreeD="1"/>
</file>

<file path=xl/ctrlProps/ctrlProp162.xml><?xml version="1.0" encoding="utf-8"?>
<formControlPr xmlns="http://schemas.microsoft.com/office/spreadsheetml/2009/9/main" objectType="CheckBox" fmlaLink="$O$25" lockText="1" noThreeD="1"/>
</file>

<file path=xl/ctrlProps/ctrlProp163.xml><?xml version="1.0" encoding="utf-8"?>
<formControlPr xmlns="http://schemas.microsoft.com/office/spreadsheetml/2009/9/main" objectType="CheckBox" fmlaLink="$O$20" lockText="1" noThreeD="1"/>
</file>

<file path=xl/ctrlProps/ctrlProp164.xml><?xml version="1.0" encoding="utf-8"?>
<formControlPr xmlns="http://schemas.microsoft.com/office/spreadsheetml/2009/9/main" objectType="CheckBox" fmlaLink="$O$26" lockText="1" noThreeD="1"/>
</file>

<file path=xl/ctrlProps/ctrlProp165.xml><?xml version="1.0" encoding="utf-8"?>
<formControlPr xmlns="http://schemas.microsoft.com/office/spreadsheetml/2009/9/main" objectType="CheckBox" checked="Checked" fmlaLink="$Q$19" lockText="1" noThreeD="1"/>
</file>

<file path=xl/ctrlProps/ctrlProp166.xml><?xml version="1.0" encoding="utf-8"?>
<formControlPr xmlns="http://schemas.microsoft.com/office/spreadsheetml/2009/9/main" objectType="CheckBox" fmlaLink="$Q$20" lockText="1" noThreeD="1"/>
</file>

<file path=xl/ctrlProps/ctrlProp167.xml><?xml version="1.0" encoding="utf-8"?>
<formControlPr xmlns="http://schemas.microsoft.com/office/spreadsheetml/2009/9/main" objectType="CheckBox" fmlaLink="$S$19" lockText="1" noThreeD="1"/>
</file>

<file path=xl/ctrlProps/ctrlProp168.xml><?xml version="1.0" encoding="utf-8"?>
<formControlPr xmlns="http://schemas.microsoft.com/office/spreadsheetml/2009/9/main" objectType="CheckBox" fmlaLink="$S$20" lockText="1" noThreeD="1"/>
</file>

<file path=xl/ctrlProps/ctrlProp169.xml><?xml version="1.0" encoding="utf-8"?>
<formControlPr xmlns="http://schemas.microsoft.com/office/spreadsheetml/2009/9/main" objectType="CheckBox" fmlaLink="$S$21" lockText="1" noThreeD="1"/>
</file>

<file path=xl/ctrlProps/ctrlProp170.xml><?xml version="1.0" encoding="utf-8"?>
<formControlPr xmlns="http://schemas.microsoft.com/office/spreadsheetml/2009/9/main" objectType="CheckBox" checked="Checked" fmlaLink="$S$22" lockText="1" noThreeD="1"/>
</file>

<file path=xl/ctrlProps/ctrlProp171.xml><?xml version="1.0" encoding="utf-8"?>
<formControlPr xmlns="http://schemas.microsoft.com/office/spreadsheetml/2009/9/main" objectType="CheckBox" fmlaLink="$M$34" lockText="1" noThreeD="1"/>
</file>

<file path=xl/ctrlProps/ctrlProp172.xml><?xml version="1.0" encoding="utf-8"?>
<formControlPr xmlns="http://schemas.microsoft.com/office/spreadsheetml/2009/9/main" objectType="CheckBox" fmlaLink="$M$35" lockText="1" noThreeD="1"/>
</file>

<file path=xl/ctrlProps/ctrlProp173.xml><?xml version="1.0" encoding="utf-8"?>
<formControlPr xmlns="http://schemas.microsoft.com/office/spreadsheetml/2009/9/main" objectType="CheckBox" fmlaLink="$M$28" lockText="1" noThreeD="1"/>
</file>

<file path=xl/ctrlProps/ctrlProp174.xml><?xml version="1.0" encoding="utf-8"?>
<formControlPr xmlns="http://schemas.microsoft.com/office/spreadsheetml/2009/9/main" objectType="CheckBox" fmlaLink="$M$29" lockText="1" noThreeD="1"/>
</file>

<file path=xl/ctrlProps/ctrlProp175.xml><?xml version="1.0" encoding="utf-8"?>
<formControlPr xmlns="http://schemas.microsoft.com/office/spreadsheetml/2009/9/main" objectType="CheckBox" fmlaLink="$M$30" lockText="1" noThreeD="1"/>
</file>

<file path=xl/ctrlProps/ctrlProp176.xml><?xml version="1.0" encoding="utf-8"?>
<formControlPr xmlns="http://schemas.microsoft.com/office/spreadsheetml/2009/9/main" objectType="CheckBox" fmlaLink="$M$31" lockText="1" noThreeD="1"/>
</file>

<file path=xl/ctrlProps/ctrlProp177.xml><?xml version="1.0" encoding="utf-8"?>
<formControlPr xmlns="http://schemas.microsoft.com/office/spreadsheetml/2009/9/main" objectType="CheckBox" fmlaLink="$M$32" lockText="1" noThreeD="1"/>
</file>

<file path=xl/ctrlProps/ctrlProp178.xml><?xml version="1.0" encoding="utf-8"?>
<formControlPr xmlns="http://schemas.microsoft.com/office/spreadsheetml/2009/9/main" objectType="CheckBox" fmlaLink="$M$33" lockText="1" noThreeD="1"/>
</file>

<file path=xl/ctrlProps/ctrlProp179.xml><?xml version="1.0" encoding="utf-8"?>
<formControlPr xmlns="http://schemas.microsoft.com/office/spreadsheetml/2009/9/main" objectType="CheckBox" fmlaLink="$M$36" lockText="1" noThreeD="1"/>
</file>

<file path=xl/ctrlProps/ctrlProp180.xml><?xml version="1.0" encoding="utf-8"?>
<formControlPr xmlns="http://schemas.microsoft.com/office/spreadsheetml/2009/9/main" objectType="CheckBox" fmlaLink="$Q$21" lockText="1" noThreeD="1"/>
</file>

<file path=xl/ctrlProps/ctrlProp181.xml><?xml version="1.0" encoding="utf-8"?>
<formControlPr xmlns="http://schemas.microsoft.com/office/spreadsheetml/2009/9/main" objectType="CheckBox" fmlaLink="$Q$22" lockText="1" noThreeD="1"/>
</file>

<file path=xl/ctrlProps/ctrlProp182.xml><?xml version="1.0" encoding="utf-8"?>
<formControlPr xmlns="http://schemas.microsoft.com/office/spreadsheetml/2009/9/main" objectType="CheckBox" fmlaLink="$M$25" lockText="1" noThreeD="1"/>
</file>

<file path=xl/ctrlProps/ctrlProp183.xml><?xml version="1.0" encoding="utf-8"?>
<formControlPr xmlns="http://schemas.microsoft.com/office/spreadsheetml/2009/9/main" objectType="CheckBox" fmlaLink="$M$26" lockText="1" noThreeD="1"/>
</file>

<file path=xl/ctrlProps/ctrlProp184.xml><?xml version="1.0" encoding="utf-8"?>
<formControlPr xmlns="http://schemas.microsoft.com/office/spreadsheetml/2009/9/main" objectType="CheckBox" checked="Checked" fmlaLink="$M$19" lockText="1" noThreeD="1"/>
</file>

<file path=xl/ctrlProps/ctrlProp185.xml><?xml version="1.0" encoding="utf-8"?>
<formControlPr xmlns="http://schemas.microsoft.com/office/spreadsheetml/2009/9/main" objectType="CheckBox" fmlaLink="$M$20" lockText="1" noThreeD="1"/>
</file>

<file path=xl/ctrlProps/ctrlProp186.xml><?xml version="1.0" encoding="utf-8"?>
<formControlPr xmlns="http://schemas.microsoft.com/office/spreadsheetml/2009/9/main" objectType="CheckBox" fmlaLink="$M$21" lockText="1" noThreeD="1"/>
</file>

<file path=xl/ctrlProps/ctrlProp187.xml><?xml version="1.0" encoding="utf-8"?>
<formControlPr xmlns="http://schemas.microsoft.com/office/spreadsheetml/2009/9/main" objectType="CheckBox" fmlaLink="$M$22" lockText="1" noThreeD="1"/>
</file>

<file path=xl/ctrlProps/ctrlProp188.xml><?xml version="1.0" encoding="utf-8"?>
<formControlPr xmlns="http://schemas.microsoft.com/office/spreadsheetml/2009/9/main" objectType="CheckBox" fmlaLink="$M$23" lockText="1" noThreeD="1"/>
</file>

<file path=xl/ctrlProps/ctrlProp189.xml><?xml version="1.0" encoding="utf-8"?>
<formControlPr xmlns="http://schemas.microsoft.com/office/spreadsheetml/2009/9/main" objectType="CheckBox" fmlaLink="$M$24" lockText="1" noThreeD="1"/>
</file>

<file path=xl/ctrlProps/ctrlProp190.xml><?xml version="1.0" encoding="utf-8"?>
<formControlPr xmlns="http://schemas.microsoft.com/office/spreadsheetml/2009/9/main" objectType="CheckBox" fmlaLink="$M$27" lockText="1" noThreeD="1"/>
</file>

<file path=xl/ctrlProps/ctrlProp191.xml><?xml version="1.0" encoding="utf-8"?>
<formControlPr xmlns="http://schemas.microsoft.com/office/spreadsheetml/2009/9/main" objectType="CheckBox" fmlaLink="$K$34" lockText="1" noThreeD="1"/>
</file>

<file path=xl/ctrlProps/ctrlProp192.xml><?xml version="1.0" encoding="utf-8"?>
<formControlPr xmlns="http://schemas.microsoft.com/office/spreadsheetml/2009/9/main" objectType="CheckBox" fmlaLink="$K$35" lockText="1" noThreeD="1"/>
</file>

<file path=xl/ctrlProps/ctrlProp193.xml><?xml version="1.0" encoding="utf-8"?>
<formControlPr xmlns="http://schemas.microsoft.com/office/spreadsheetml/2009/9/main" objectType="CheckBox" fmlaLink="$K$28" lockText="1" noThreeD="1"/>
</file>

<file path=xl/ctrlProps/ctrlProp194.xml><?xml version="1.0" encoding="utf-8"?>
<formControlPr xmlns="http://schemas.microsoft.com/office/spreadsheetml/2009/9/main" objectType="CheckBox" fmlaLink="$K$29" lockText="1" noThreeD="1"/>
</file>

<file path=xl/ctrlProps/ctrlProp195.xml><?xml version="1.0" encoding="utf-8"?>
<formControlPr xmlns="http://schemas.microsoft.com/office/spreadsheetml/2009/9/main" objectType="CheckBox" fmlaLink="$K$30" lockText="1" noThreeD="1"/>
</file>

<file path=xl/ctrlProps/ctrlProp196.xml><?xml version="1.0" encoding="utf-8"?>
<formControlPr xmlns="http://schemas.microsoft.com/office/spreadsheetml/2009/9/main" objectType="CheckBox" fmlaLink="$K$31" lockText="1" noThreeD="1"/>
</file>

<file path=xl/ctrlProps/ctrlProp197.xml><?xml version="1.0" encoding="utf-8"?>
<formControlPr xmlns="http://schemas.microsoft.com/office/spreadsheetml/2009/9/main" objectType="CheckBox" fmlaLink="$K$32" lockText="1" noThreeD="1"/>
</file>

<file path=xl/ctrlProps/ctrlProp198.xml><?xml version="1.0" encoding="utf-8"?>
<formControlPr xmlns="http://schemas.microsoft.com/office/spreadsheetml/2009/9/main" objectType="CheckBox" fmlaLink="$K$33" lockText="1" noThreeD="1"/>
</file>

<file path=xl/ctrlProps/ctrlProp199.xml><?xml version="1.0" encoding="utf-8"?>
<formControlPr xmlns="http://schemas.microsoft.com/office/spreadsheetml/2009/9/main" objectType="CheckBox" fmlaLink="$K$36" lockText="1" noThreeD="1"/>
</file>

<file path=xl/ctrlProps/ctrlProp200.xml><?xml version="1.0" encoding="utf-8"?>
<formControlPr xmlns="http://schemas.microsoft.com/office/spreadsheetml/2009/9/main" objectType="CheckBox" fmlaLink="$K$25" lockText="1" noThreeD="1"/>
</file>

<file path=xl/ctrlProps/ctrlProp201.xml><?xml version="1.0" encoding="utf-8"?>
<formControlPr xmlns="http://schemas.microsoft.com/office/spreadsheetml/2009/9/main" objectType="CheckBox" fmlaLink="$K$26" lockText="1" noThreeD="1"/>
</file>

<file path=xl/ctrlProps/ctrlProp202.xml><?xml version="1.0" encoding="utf-8"?>
<formControlPr xmlns="http://schemas.microsoft.com/office/spreadsheetml/2009/9/main" objectType="CheckBox" fmlaLink="$K$19" lockText="1" noThreeD="1"/>
</file>

<file path=xl/ctrlProps/ctrlProp203.xml><?xml version="1.0" encoding="utf-8"?>
<formControlPr xmlns="http://schemas.microsoft.com/office/spreadsheetml/2009/9/main" objectType="CheckBox" checked="Checked" fmlaLink="$K$20" lockText="1" noThreeD="1"/>
</file>

<file path=xl/ctrlProps/ctrlProp204.xml><?xml version="1.0" encoding="utf-8"?>
<formControlPr xmlns="http://schemas.microsoft.com/office/spreadsheetml/2009/9/main" objectType="CheckBox" fmlaLink="$K$21" lockText="1" noThreeD="1"/>
</file>

<file path=xl/ctrlProps/ctrlProp205.xml><?xml version="1.0" encoding="utf-8"?>
<formControlPr xmlns="http://schemas.microsoft.com/office/spreadsheetml/2009/9/main" objectType="CheckBox" fmlaLink="$K$22" lockText="1" noThreeD="1"/>
</file>

<file path=xl/ctrlProps/ctrlProp206.xml><?xml version="1.0" encoding="utf-8"?>
<formControlPr xmlns="http://schemas.microsoft.com/office/spreadsheetml/2009/9/main" objectType="CheckBox" fmlaLink="$K$23" lockText="1" noThreeD="1"/>
</file>

<file path=xl/ctrlProps/ctrlProp207.xml><?xml version="1.0" encoding="utf-8"?>
<formControlPr xmlns="http://schemas.microsoft.com/office/spreadsheetml/2009/9/main" objectType="CheckBox" fmlaLink="$K$24" lockText="1" noThreeD="1"/>
</file>

<file path=xl/ctrlProps/ctrlProp208.xml><?xml version="1.0" encoding="utf-8"?>
<formControlPr xmlns="http://schemas.microsoft.com/office/spreadsheetml/2009/9/main" objectType="CheckBox" fmlaLink="$K$27" lockText="1" noThreeD="1"/>
</file>

<file path=xl/ctrlProps/ctrlProp209.xml><?xml version="1.0" encoding="utf-8"?>
<formControlPr xmlns="http://schemas.microsoft.com/office/spreadsheetml/2009/9/main" objectType="CheckBox" fmlaLink="$O$19" lockText="1" noThreeD="1"/>
</file>

<file path=xl/ctrlProps/ctrlProp210.xml><?xml version="1.0" encoding="utf-8"?>
<formControlPr xmlns="http://schemas.microsoft.com/office/spreadsheetml/2009/9/main" objectType="CheckBox" fmlaLink="$O$21" lockText="1" noThreeD="1"/>
</file>

<file path=xl/ctrlProps/ctrlProp211.xml><?xml version="1.0" encoding="utf-8"?>
<formControlPr xmlns="http://schemas.microsoft.com/office/spreadsheetml/2009/9/main" objectType="CheckBox" fmlaLink="$O$22" lockText="1" noThreeD="1"/>
</file>

<file path=xl/ctrlProps/ctrlProp212.xml><?xml version="1.0" encoding="utf-8"?>
<formControlPr xmlns="http://schemas.microsoft.com/office/spreadsheetml/2009/9/main" objectType="CheckBox" fmlaLink="$O$23" lockText="1" noThreeD="1"/>
</file>

<file path=xl/ctrlProps/ctrlProp213.xml><?xml version="1.0" encoding="utf-8"?>
<formControlPr xmlns="http://schemas.microsoft.com/office/spreadsheetml/2009/9/main" objectType="CheckBox" fmlaLink="$O$24" lockText="1" noThreeD="1"/>
</file>

<file path=xl/ctrlProps/ctrlProp214.xml><?xml version="1.0" encoding="utf-8"?>
<formControlPr xmlns="http://schemas.microsoft.com/office/spreadsheetml/2009/9/main" objectType="CheckBox" fmlaLink="$O$25" lockText="1" noThreeD="1"/>
</file>

<file path=xl/ctrlProps/ctrlProp215.xml><?xml version="1.0" encoding="utf-8"?>
<formControlPr xmlns="http://schemas.microsoft.com/office/spreadsheetml/2009/9/main" objectType="CheckBox" fmlaLink="$O$20" lockText="1" noThreeD="1"/>
</file>

<file path=xl/ctrlProps/ctrlProp216.xml><?xml version="1.0" encoding="utf-8"?>
<formControlPr xmlns="http://schemas.microsoft.com/office/spreadsheetml/2009/9/main" objectType="CheckBox" checked="Checked" fmlaLink="$O$26" lockText="1" noThreeD="1"/>
</file>

<file path=xl/ctrlProps/ctrlProp217.xml><?xml version="1.0" encoding="utf-8"?>
<formControlPr xmlns="http://schemas.microsoft.com/office/spreadsheetml/2009/9/main" objectType="CheckBox" fmlaLink="$Q$19" lockText="1" noThreeD="1"/>
</file>

<file path=xl/ctrlProps/ctrlProp218.xml><?xml version="1.0" encoding="utf-8"?>
<formControlPr xmlns="http://schemas.microsoft.com/office/spreadsheetml/2009/9/main" objectType="CheckBox" checked="Checked" fmlaLink="$Q$20" lockText="1" noThreeD="1"/>
</file>

<file path=xl/ctrlProps/ctrlProp219.xml><?xml version="1.0" encoding="utf-8"?>
<formControlPr xmlns="http://schemas.microsoft.com/office/spreadsheetml/2009/9/main" objectType="CheckBox" checked="Checked" fmlaLink="$S$19" lockText="1" noThreeD="1"/>
</file>

<file path=xl/ctrlProps/ctrlProp220.xml><?xml version="1.0" encoding="utf-8"?>
<formControlPr xmlns="http://schemas.microsoft.com/office/spreadsheetml/2009/9/main" objectType="CheckBox" fmlaLink="$S$20" lockText="1" noThreeD="1"/>
</file>

<file path=xl/ctrlProps/ctrlProp221.xml><?xml version="1.0" encoding="utf-8"?>
<formControlPr xmlns="http://schemas.microsoft.com/office/spreadsheetml/2009/9/main" objectType="CheckBox" fmlaLink="$S$21" lockText="1" noThreeD="1"/>
</file>

<file path=xl/ctrlProps/ctrlProp222.xml><?xml version="1.0" encoding="utf-8"?>
<formControlPr xmlns="http://schemas.microsoft.com/office/spreadsheetml/2009/9/main" objectType="CheckBox" fmlaLink="$S$22" lockText="1" noThreeD="1"/>
</file>

<file path=xl/ctrlProps/ctrlProp223.xml><?xml version="1.0" encoding="utf-8"?>
<formControlPr xmlns="http://schemas.microsoft.com/office/spreadsheetml/2009/9/main" objectType="CheckBox" fmlaLink="$M$34" lockText="1" noThreeD="1"/>
</file>

<file path=xl/ctrlProps/ctrlProp224.xml><?xml version="1.0" encoding="utf-8"?>
<formControlPr xmlns="http://schemas.microsoft.com/office/spreadsheetml/2009/9/main" objectType="CheckBox" fmlaLink="$M$35" lockText="1" noThreeD="1"/>
</file>

<file path=xl/ctrlProps/ctrlProp225.xml><?xml version="1.0" encoding="utf-8"?>
<formControlPr xmlns="http://schemas.microsoft.com/office/spreadsheetml/2009/9/main" objectType="CheckBox" fmlaLink="$M$28" lockText="1" noThreeD="1"/>
</file>

<file path=xl/ctrlProps/ctrlProp226.xml><?xml version="1.0" encoding="utf-8"?>
<formControlPr xmlns="http://schemas.microsoft.com/office/spreadsheetml/2009/9/main" objectType="CheckBox" fmlaLink="$M$29" lockText="1" noThreeD="1"/>
</file>

<file path=xl/ctrlProps/ctrlProp227.xml><?xml version="1.0" encoding="utf-8"?>
<formControlPr xmlns="http://schemas.microsoft.com/office/spreadsheetml/2009/9/main" objectType="CheckBox" fmlaLink="$M$30" lockText="1" noThreeD="1"/>
</file>

<file path=xl/ctrlProps/ctrlProp228.xml><?xml version="1.0" encoding="utf-8"?>
<formControlPr xmlns="http://schemas.microsoft.com/office/spreadsheetml/2009/9/main" objectType="CheckBox" fmlaLink="$M$31" lockText="1" noThreeD="1"/>
</file>

<file path=xl/ctrlProps/ctrlProp229.xml><?xml version="1.0" encoding="utf-8"?>
<formControlPr xmlns="http://schemas.microsoft.com/office/spreadsheetml/2009/9/main" objectType="CheckBox" fmlaLink="$M$32" lockText="1" noThreeD="1"/>
</file>

<file path=xl/ctrlProps/ctrlProp230.xml><?xml version="1.0" encoding="utf-8"?>
<formControlPr xmlns="http://schemas.microsoft.com/office/spreadsheetml/2009/9/main" objectType="CheckBox" fmlaLink="$M$33" lockText="1" noThreeD="1"/>
</file>

<file path=xl/ctrlProps/ctrlProp231.xml><?xml version="1.0" encoding="utf-8"?>
<formControlPr xmlns="http://schemas.microsoft.com/office/spreadsheetml/2009/9/main" objectType="CheckBox" fmlaLink="$M$36" lockText="1" noThreeD="1"/>
</file>

<file path=xl/ctrlProps/ctrlProp232.xml><?xml version="1.0" encoding="utf-8"?>
<formControlPr xmlns="http://schemas.microsoft.com/office/spreadsheetml/2009/9/main" objectType="CheckBox" fmlaLink="$Q$21" lockText="1" noThreeD="1"/>
</file>

<file path=xl/ctrlProps/ctrlProp233.xml><?xml version="1.0" encoding="utf-8"?>
<formControlPr xmlns="http://schemas.microsoft.com/office/spreadsheetml/2009/9/main" objectType="CheckBox" fmlaLink="$Q$22" lockText="1" noThreeD="1"/>
</file>

<file path=xl/ctrlProps/ctrlProp234.xml><?xml version="1.0" encoding="utf-8"?>
<formControlPr xmlns="http://schemas.microsoft.com/office/spreadsheetml/2009/9/main" objectType="CheckBox" fmlaLink="$M$25" lockText="1" noThreeD="1"/>
</file>

<file path=xl/ctrlProps/ctrlProp235.xml><?xml version="1.0" encoding="utf-8"?>
<formControlPr xmlns="http://schemas.microsoft.com/office/spreadsheetml/2009/9/main" objectType="CheckBox" fmlaLink="$M$26" lockText="1" noThreeD="1"/>
</file>

<file path=xl/ctrlProps/ctrlProp236.xml><?xml version="1.0" encoding="utf-8"?>
<formControlPr xmlns="http://schemas.microsoft.com/office/spreadsheetml/2009/9/main" objectType="CheckBox" checked="Checked" fmlaLink="$M$19" lockText="1" noThreeD="1"/>
</file>

<file path=xl/ctrlProps/ctrlProp237.xml><?xml version="1.0" encoding="utf-8"?>
<formControlPr xmlns="http://schemas.microsoft.com/office/spreadsheetml/2009/9/main" objectType="CheckBox" fmlaLink="$M$20" lockText="1" noThreeD="1"/>
</file>

<file path=xl/ctrlProps/ctrlProp238.xml><?xml version="1.0" encoding="utf-8"?>
<formControlPr xmlns="http://schemas.microsoft.com/office/spreadsheetml/2009/9/main" objectType="CheckBox" fmlaLink="$M$21" lockText="1" noThreeD="1"/>
</file>

<file path=xl/ctrlProps/ctrlProp239.xml><?xml version="1.0" encoding="utf-8"?>
<formControlPr xmlns="http://schemas.microsoft.com/office/spreadsheetml/2009/9/main" objectType="CheckBox" fmlaLink="$M$22" lockText="1" noThreeD="1"/>
</file>

<file path=xl/ctrlProps/ctrlProp240.xml><?xml version="1.0" encoding="utf-8"?>
<formControlPr xmlns="http://schemas.microsoft.com/office/spreadsheetml/2009/9/main" objectType="CheckBox" fmlaLink="$M$23" lockText="1" noThreeD="1"/>
</file>

<file path=xl/ctrlProps/ctrlProp241.xml><?xml version="1.0" encoding="utf-8"?>
<formControlPr xmlns="http://schemas.microsoft.com/office/spreadsheetml/2009/9/main" objectType="CheckBox" fmlaLink="$M$24" lockText="1" noThreeD="1"/>
</file>

<file path=xl/ctrlProps/ctrlProp242.xml><?xml version="1.0" encoding="utf-8"?>
<formControlPr xmlns="http://schemas.microsoft.com/office/spreadsheetml/2009/9/main" objectType="CheckBox" fmlaLink="$M$27" lockText="1" noThreeD="1"/>
</file>

<file path=xl/ctrlProps/ctrlProp243.xml><?xml version="1.0" encoding="utf-8"?>
<formControlPr xmlns="http://schemas.microsoft.com/office/spreadsheetml/2009/9/main" objectType="CheckBox" fmlaLink="$K$34" lockText="1" noThreeD="1"/>
</file>

<file path=xl/ctrlProps/ctrlProp244.xml><?xml version="1.0" encoding="utf-8"?>
<formControlPr xmlns="http://schemas.microsoft.com/office/spreadsheetml/2009/9/main" objectType="CheckBox" fmlaLink="$K$35" lockText="1" noThreeD="1"/>
</file>

<file path=xl/ctrlProps/ctrlProp245.xml><?xml version="1.0" encoding="utf-8"?>
<formControlPr xmlns="http://schemas.microsoft.com/office/spreadsheetml/2009/9/main" objectType="CheckBox" fmlaLink="$K$28" lockText="1" noThreeD="1"/>
</file>

<file path=xl/ctrlProps/ctrlProp246.xml><?xml version="1.0" encoding="utf-8"?>
<formControlPr xmlns="http://schemas.microsoft.com/office/spreadsheetml/2009/9/main" objectType="CheckBox" fmlaLink="$K$29" lockText="1" noThreeD="1"/>
</file>

<file path=xl/ctrlProps/ctrlProp247.xml><?xml version="1.0" encoding="utf-8"?>
<formControlPr xmlns="http://schemas.microsoft.com/office/spreadsheetml/2009/9/main" objectType="CheckBox" fmlaLink="$K$30" lockText="1" noThreeD="1"/>
</file>

<file path=xl/ctrlProps/ctrlProp248.xml><?xml version="1.0" encoding="utf-8"?>
<formControlPr xmlns="http://schemas.microsoft.com/office/spreadsheetml/2009/9/main" objectType="CheckBox" fmlaLink="$K$31" lockText="1" noThreeD="1"/>
</file>

<file path=xl/ctrlProps/ctrlProp249.xml><?xml version="1.0" encoding="utf-8"?>
<formControlPr xmlns="http://schemas.microsoft.com/office/spreadsheetml/2009/9/main" objectType="CheckBox" fmlaLink="$K$32" lockText="1" noThreeD="1"/>
</file>

<file path=xl/ctrlProps/ctrlProp250.xml><?xml version="1.0" encoding="utf-8"?>
<formControlPr xmlns="http://schemas.microsoft.com/office/spreadsheetml/2009/9/main" objectType="CheckBox" fmlaLink="$K$33" lockText="1" noThreeD="1"/>
</file>

<file path=xl/ctrlProps/ctrlProp251.xml><?xml version="1.0" encoding="utf-8"?>
<formControlPr xmlns="http://schemas.microsoft.com/office/spreadsheetml/2009/9/main" objectType="CheckBox" fmlaLink="$K$36" lockText="1" noThreeD="1"/>
</file>

<file path=xl/ctrlProps/ctrlProp252.xml><?xml version="1.0" encoding="utf-8"?>
<formControlPr xmlns="http://schemas.microsoft.com/office/spreadsheetml/2009/9/main" objectType="CheckBox" fmlaLink="$K$25" lockText="1" noThreeD="1"/>
</file>

<file path=xl/ctrlProps/ctrlProp253.xml><?xml version="1.0" encoding="utf-8"?>
<formControlPr xmlns="http://schemas.microsoft.com/office/spreadsheetml/2009/9/main" objectType="CheckBox" fmlaLink="$K$26" lockText="1" noThreeD="1"/>
</file>

<file path=xl/ctrlProps/ctrlProp254.xml><?xml version="1.0" encoding="utf-8"?>
<formControlPr xmlns="http://schemas.microsoft.com/office/spreadsheetml/2009/9/main" objectType="CheckBox" fmlaLink="$K$19" lockText="1" noThreeD="1"/>
</file>

<file path=xl/ctrlProps/ctrlProp255.xml><?xml version="1.0" encoding="utf-8"?>
<formControlPr xmlns="http://schemas.microsoft.com/office/spreadsheetml/2009/9/main" objectType="CheckBox" checked="Checked" fmlaLink="$K$20" lockText="1" noThreeD="1"/>
</file>

<file path=xl/ctrlProps/ctrlProp256.xml><?xml version="1.0" encoding="utf-8"?>
<formControlPr xmlns="http://schemas.microsoft.com/office/spreadsheetml/2009/9/main" objectType="CheckBox" fmlaLink="$K$21" lockText="1" noThreeD="1"/>
</file>

<file path=xl/ctrlProps/ctrlProp257.xml><?xml version="1.0" encoding="utf-8"?>
<formControlPr xmlns="http://schemas.microsoft.com/office/spreadsheetml/2009/9/main" objectType="CheckBox" fmlaLink="$K$22" lockText="1" noThreeD="1"/>
</file>

<file path=xl/ctrlProps/ctrlProp258.xml><?xml version="1.0" encoding="utf-8"?>
<formControlPr xmlns="http://schemas.microsoft.com/office/spreadsheetml/2009/9/main" objectType="CheckBox" fmlaLink="$K$23" lockText="1" noThreeD="1"/>
</file>

<file path=xl/ctrlProps/ctrlProp259.xml><?xml version="1.0" encoding="utf-8"?>
<formControlPr xmlns="http://schemas.microsoft.com/office/spreadsheetml/2009/9/main" objectType="CheckBox" fmlaLink="$K$24" lockText="1" noThreeD="1"/>
</file>

<file path=xl/ctrlProps/ctrlProp260.xml><?xml version="1.0" encoding="utf-8"?>
<formControlPr xmlns="http://schemas.microsoft.com/office/spreadsheetml/2009/9/main" objectType="CheckBox" fmlaLink="$K$27" lockText="1" noThreeD="1"/>
</file>

<file path=xl/ctrlProps/ctrlProp261.xml><?xml version="1.0" encoding="utf-8"?>
<formControlPr xmlns="http://schemas.microsoft.com/office/spreadsheetml/2009/9/main" objectType="CheckBox" fmlaLink="$O$19" lockText="1" noThreeD="1"/>
</file>

<file path=xl/ctrlProps/ctrlProp262.xml><?xml version="1.0" encoding="utf-8"?>
<formControlPr xmlns="http://schemas.microsoft.com/office/spreadsheetml/2009/9/main" objectType="CheckBox" fmlaLink="$O$21" lockText="1" noThreeD="1"/>
</file>

<file path=xl/ctrlProps/ctrlProp263.xml><?xml version="1.0" encoding="utf-8"?>
<formControlPr xmlns="http://schemas.microsoft.com/office/spreadsheetml/2009/9/main" objectType="CheckBox" fmlaLink="$O$22" lockText="1" noThreeD="1"/>
</file>

<file path=xl/ctrlProps/ctrlProp264.xml><?xml version="1.0" encoding="utf-8"?>
<formControlPr xmlns="http://schemas.microsoft.com/office/spreadsheetml/2009/9/main" objectType="CheckBox" checked="Checked" fmlaLink="$O$23" lockText="1" noThreeD="1"/>
</file>

<file path=xl/ctrlProps/ctrlProp265.xml><?xml version="1.0" encoding="utf-8"?>
<formControlPr xmlns="http://schemas.microsoft.com/office/spreadsheetml/2009/9/main" objectType="CheckBox" fmlaLink="$O$24" lockText="1" noThreeD="1"/>
</file>

<file path=xl/ctrlProps/ctrlProp266.xml><?xml version="1.0" encoding="utf-8"?>
<formControlPr xmlns="http://schemas.microsoft.com/office/spreadsheetml/2009/9/main" objectType="CheckBox" fmlaLink="$O$25" lockText="1" noThreeD="1"/>
</file>

<file path=xl/ctrlProps/ctrlProp267.xml><?xml version="1.0" encoding="utf-8"?>
<formControlPr xmlns="http://schemas.microsoft.com/office/spreadsheetml/2009/9/main" objectType="CheckBox" fmlaLink="$O$20" lockText="1" noThreeD="1"/>
</file>

<file path=xl/ctrlProps/ctrlProp268.xml><?xml version="1.0" encoding="utf-8"?>
<formControlPr xmlns="http://schemas.microsoft.com/office/spreadsheetml/2009/9/main" objectType="CheckBox" fmlaLink="$O$26" lockText="1" noThreeD="1"/>
</file>

<file path=xl/ctrlProps/ctrlProp269.xml><?xml version="1.0" encoding="utf-8"?>
<formControlPr xmlns="http://schemas.microsoft.com/office/spreadsheetml/2009/9/main" objectType="CheckBox" fmlaLink="$Q$19" lockText="1" noThreeD="1"/>
</file>

<file path=xl/ctrlProps/ctrlProp270.xml><?xml version="1.0" encoding="utf-8"?>
<formControlPr xmlns="http://schemas.microsoft.com/office/spreadsheetml/2009/9/main" objectType="CheckBox" fmlaLink="$Q$20" lockText="1" noThreeD="1"/>
</file>

<file path=xl/ctrlProps/ctrlProp271.xml><?xml version="1.0" encoding="utf-8"?>
<formControlPr xmlns="http://schemas.microsoft.com/office/spreadsheetml/2009/9/main" objectType="CheckBox" fmlaLink="$S$19" lockText="1" noThreeD="1"/>
</file>

<file path=xl/ctrlProps/ctrlProp272.xml><?xml version="1.0" encoding="utf-8"?>
<formControlPr xmlns="http://schemas.microsoft.com/office/spreadsheetml/2009/9/main" objectType="CheckBox" fmlaLink="$S$20" lockText="1" noThreeD="1"/>
</file>

<file path=xl/ctrlProps/ctrlProp273.xml><?xml version="1.0" encoding="utf-8"?>
<formControlPr xmlns="http://schemas.microsoft.com/office/spreadsheetml/2009/9/main" objectType="CheckBox" fmlaLink="$S$21" lockText="1" noThreeD="1"/>
</file>

<file path=xl/ctrlProps/ctrlProp274.xml><?xml version="1.0" encoding="utf-8"?>
<formControlPr xmlns="http://schemas.microsoft.com/office/spreadsheetml/2009/9/main" objectType="CheckBox" checked="Checked" fmlaLink="$S$22" lockText="1" noThreeD="1"/>
</file>

<file path=xl/ctrlProps/ctrlProp275.xml><?xml version="1.0" encoding="utf-8"?>
<formControlPr xmlns="http://schemas.microsoft.com/office/spreadsheetml/2009/9/main" objectType="CheckBox" fmlaLink="$M$34" lockText="1" noThreeD="1"/>
</file>

<file path=xl/ctrlProps/ctrlProp276.xml><?xml version="1.0" encoding="utf-8"?>
<formControlPr xmlns="http://schemas.microsoft.com/office/spreadsheetml/2009/9/main" objectType="CheckBox" fmlaLink="$M$35" lockText="1" noThreeD="1"/>
</file>

<file path=xl/ctrlProps/ctrlProp277.xml><?xml version="1.0" encoding="utf-8"?>
<formControlPr xmlns="http://schemas.microsoft.com/office/spreadsheetml/2009/9/main" objectType="CheckBox" fmlaLink="$M$28" lockText="1" noThreeD="1"/>
</file>

<file path=xl/ctrlProps/ctrlProp278.xml><?xml version="1.0" encoding="utf-8"?>
<formControlPr xmlns="http://schemas.microsoft.com/office/spreadsheetml/2009/9/main" objectType="CheckBox" checked="Checked" fmlaLink="$M$29" lockText="1" noThreeD="1"/>
</file>

<file path=xl/ctrlProps/ctrlProp279.xml><?xml version="1.0" encoding="utf-8"?>
<formControlPr xmlns="http://schemas.microsoft.com/office/spreadsheetml/2009/9/main" objectType="CheckBox" fmlaLink="$M$30" lockText="1" noThreeD="1"/>
</file>

<file path=xl/ctrlProps/ctrlProp280.xml><?xml version="1.0" encoding="utf-8"?>
<formControlPr xmlns="http://schemas.microsoft.com/office/spreadsheetml/2009/9/main" objectType="CheckBox" fmlaLink="$M$31" lockText="1" noThreeD="1"/>
</file>

<file path=xl/ctrlProps/ctrlProp281.xml><?xml version="1.0" encoding="utf-8"?>
<formControlPr xmlns="http://schemas.microsoft.com/office/spreadsheetml/2009/9/main" objectType="CheckBox" fmlaLink="$M$32" lockText="1" noThreeD="1"/>
</file>

<file path=xl/ctrlProps/ctrlProp282.xml><?xml version="1.0" encoding="utf-8"?>
<formControlPr xmlns="http://schemas.microsoft.com/office/spreadsheetml/2009/9/main" objectType="CheckBox" fmlaLink="$M$33" lockText="1" noThreeD="1"/>
</file>

<file path=xl/ctrlProps/ctrlProp283.xml><?xml version="1.0" encoding="utf-8"?>
<formControlPr xmlns="http://schemas.microsoft.com/office/spreadsheetml/2009/9/main" objectType="CheckBox" fmlaLink="$M$36" lockText="1" noThreeD="1"/>
</file>

<file path=xl/ctrlProps/ctrlProp284.xml><?xml version="1.0" encoding="utf-8"?>
<formControlPr xmlns="http://schemas.microsoft.com/office/spreadsheetml/2009/9/main" objectType="CheckBox" fmlaLink="$Q$21" lockText="1" noThreeD="1"/>
</file>

<file path=xl/ctrlProps/ctrlProp285.xml><?xml version="1.0" encoding="utf-8"?>
<formControlPr xmlns="http://schemas.microsoft.com/office/spreadsheetml/2009/9/main" objectType="CheckBox" checked="Checked" fmlaLink="$Q$22" lockText="1" noThreeD="1"/>
</file>

<file path=xl/ctrlProps/ctrlProp286.xml><?xml version="1.0" encoding="utf-8"?>
<formControlPr xmlns="http://schemas.microsoft.com/office/spreadsheetml/2009/9/main" objectType="CheckBox" fmlaLink="$M$25" lockText="1" noThreeD="1"/>
</file>

<file path=xl/ctrlProps/ctrlProp287.xml><?xml version="1.0" encoding="utf-8"?>
<formControlPr xmlns="http://schemas.microsoft.com/office/spreadsheetml/2009/9/main" objectType="CheckBox" fmlaLink="$M$26" lockText="1" noThreeD="1"/>
</file>

<file path=xl/ctrlProps/ctrlProp288.xml><?xml version="1.0" encoding="utf-8"?>
<formControlPr xmlns="http://schemas.microsoft.com/office/spreadsheetml/2009/9/main" objectType="CheckBox" fmlaLink="$M$19" lockText="1" noThreeD="1"/>
</file>

<file path=xl/ctrlProps/ctrlProp289.xml><?xml version="1.0" encoding="utf-8"?>
<formControlPr xmlns="http://schemas.microsoft.com/office/spreadsheetml/2009/9/main" objectType="CheckBox" fmlaLink="$M$20" lockText="1" noThreeD="1"/>
</file>

<file path=xl/ctrlProps/ctrlProp290.xml><?xml version="1.0" encoding="utf-8"?>
<formControlPr xmlns="http://schemas.microsoft.com/office/spreadsheetml/2009/9/main" objectType="CheckBox" fmlaLink="$M$21" lockText="1" noThreeD="1"/>
</file>

<file path=xl/ctrlProps/ctrlProp291.xml><?xml version="1.0" encoding="utf-8"?>
<formControlPr xmlns="http://schemas.microsoft.com/office/spreadsheetml/2009/9/main" objectType="CheckBox" fmlaLink="$M$22" lockText="1" noThreeD="1"/>
</file>

<file path=xl/ctrlProps/ctrlProp292.xml><?xml version="1.0" encoding="utf-8"?>
<formControlPr xmlns="http://schemas.microsoft.com/office/spreadsheetml/2009/9/main" objectType="CheckBox" fmlaLink="$M$23" lockText="1" noThreeD="1"/>
</file>

<file path=xl/ctrlProps/ctrlProp293.xml><?xml version="1.0" encoding="utf-8"?>
<formControlPr xmlns="http://schemas.microsoft.com/office/spreadsheetml/2009/9/main" objectType="CheckBox" fmlaLink="$M$24" lockText="1" noThreeD="1"/>
</file>

<file path=xl/ctrlProps/ctrlProp294.xml><?xml version="1.0" encoding="utf-8"?>
<formControlPr xmlns="http://schemas.microsoft.com/office/spreadsheetml/2009/9/main" objectType="CheckBox" fmlaLink="$M$27" lockText="1" noThreeD="1"/>
</file>

<file path=xl/ctrlProps/ctrlProp295.xml><?xml version="1.0" encoding="utf-8"?>
<formControlPr xmlns="http://schemas.microsoft.com/office/spreadsheetml/2009/9/main" objectType="CheckBox" fmlaLink="$K$34" lockText="1" noThreeD="1"/>
</file>

<file path=xl/ctrlProps/ctrlProp296.xml><?xml version="1.0" encoding="utf-8"?>
<formControlPr xmlns="http://schemas.microsoft.com/office/spreadsheetml/2009/9/main" objectType="CheckBox" fmlaLink="$K$35" lockText="1" noThreeD="1"/>
</file>

<file path=xl/ctrlProps/ctrlProp297.xml><?xml version="1.0" encoding="utf-8"?>
<formControlPr xmlns="http://schemas.microsoft.com/office/spreadsheetml/2009/9/main" objectType="CheckBox" fmlaLink="$K$28" lockText="1" noThreeD="1"/>
</file>

<file path=xl/ctrlProps/ctrlProp298.xml><?xml version="1.0" encoding="utf-8"?>
<formControlPr xmlns="http://schemas.microsoft.com/office/spreadsheetml/2009/9/main" objectType="CheckBox" fmlaLink="$K$29" lockText="1" noThreeD="1"/>
</file>

<file path=xl/ctrlProps/ctrlProp299.xml><?xml version="1.0" encoding="utf-8"?>
<formControlPr xmlns="http://schemas.microsoft.com/office/spreadsheetml/2009/9/main" objectType="CheckBox" fmlaLink="$K$30" lockText="1" noThreeD="1"/>
</file>

<file path=xl/ctrlProps/ctrlProp300.xml><?xml version="1.0" encoding="utf-8"?>
<formControlPr xmlns="http://schemas.microsoft.com/office/spreadsheetml/2009/9/main" objectType="CheckBox" checked="Checked" fmlaLink="$K$31" lockText="1" noThreeD="1"/>
</file>

<file path=xl/ctrlProps/ctrlProp301.xml><?xml version="1.0" encoding="utf-8"?>
<formControlPr xmlns="http://schemas.microsoft.com/office/spreadsheetml/2009/9/main" objectType="CheckBox" fmlaLink="$K$32" lockText="1" noThreeD="1"/>
</file>

<file path=xl/ctrlProps/ctrlProp302.xml><?xml version="1.0" encoding="utf-8"?>
<formControlPr xmlns="http://schemas.microsoft.com/office/spreadsheetml/2009/9/main" objectType="CheckBox" fmlaLink="$K$33" lockText="1" noThreeD="1"/>
</file>

<file path=xl/ctrlProps/ctrlProp303.xml><?xml version="1.0" encoding="utf-8"?>
<formControlPr xmlns="http://schemas.microsoft.com/office/spreadsheetml/2009/9/main" objectType="CheckBox" fmlaLink="$K$36" lockText="1" noThreeD="1"/>
</file>

<file path=xl/ctrlProps/ctrlProp304.xml><?xml version="1.0" encoding="utf-8"?>
<formControlPr xmlns="http://schemas.microsoft.com/office/spreadsheetml/2009/9/main" objectType="CheckBox" fmlaLink="$K$25" lockText="1" noThreeD="1"/>
</file>

<file path=xl/ctrlProps/ctrlProp305.xml><?xml version="1.0" encoding="utf-8"?>
<formControlPr xmlns="http://schemas.microsoft.com/office/spreadsheetml/2009/9/main" objectType="CheckBox" fmlaLink="$K$26" lockText="1" noThreeD="1"/>
</file>

<file path=xl/ctrlProps/ctrlProp306.xml><?xml version="1.0" encoding="utf-8"?>
<formControlPr xmlns="http://schemas.microsoft.com/office/spreadsheetml/2009/9/main" objectType="CheckBox" fmlaLink="$K$19" lockText="1" noThreeD="1"/>
</file>

<file path=xl/ctrlProps/ctrlProp307.xml><?xml version="1.0" encoding="utf-8"?>
<formControlPr xmlns="http://schemas.microsoft.com/office/spreadsheetml/2009/9/main" objectType="CheckBox" fmlaLink="$K$20" lockText="1" noThreeD="1"/>
</file>

<file path=xl/ctrlProps/ctrlProp308.xml><?xml version="1.0" encoding="utf-8"?>
<formControlPr xmlns="http://schemas.microsoft.com/office/spreadsheetml/2009/9/main" objectType="CheckBox" fmlaLink="$K$21" lockText="1" noThreeD="1"/>
</file>

<file path=xl/ctrlProps/ctrlProp309.xml><?xml version="1.0" encoding="utf-8"?>
<formControlPr xmlns="http://schemas.microsoft.com/office/spreadsheetml/2009/9/main" objectType="CheckBox" fmlaLink="$K$22" lockText="1" noThreeD="1"/>
</file>

<file path=xl/ctrlProps/ctrlProp310.xml><?xml version="1.0" encoding="utf-8"?>
<formControlPr xmlns="http://schemas.microsoft.com/office/spreadsheetml/2009/9/main" objectType="CheckBox" fmlaLink="$K$23" lockText="1" noThreeD="1"/>
</file>

<file path=xl/ctrlProps/ctrlProp311.xml><?xml version="1.0" encoding="utf-8"?>
<formControlPr xmlns="http://schemas.microsoft.com/office/spreadsheetml/2009/9/main" objectType="CheckBox" fmlaLink="$K$24" lockText="1" noThreeD="1"/>
</file>

<file path=xl/ctrlProps/ctrlProp312.xml><?xml version="1.0" encoding="utf-8"?>
<formControlPr xmlns="http://schemas.microsoft.com/office/spreadsheetml/2009/9/main" objectType="CheckBox" fmlaLink="$K$27" lockText="1" noThreeD="1"/>
</file>

<file path=xl/ctrlProps/ctrlProp313.xml><?xml version="1.0" encoding="utf-8"?>
<formControlPr xmlns="http://schemas.microsoft.com/office/spreadsheetml/2009/9/main" objectType="CheckBox" fmlaLink="$O$19" lockText="1" noThreeD="1"/>
</file>

<file path=xl/ctrlProps/ctrlProp314.xml><?xml version="1.0" encoding="utf-8"?>
<formControlPr xmlns="http://schemas.microsoft.com/office/spreadsheetml/2009/9/main" objectType="CheckBox" fmlaLink="$O$21" lockText="1" noThreeD="1"/>
</file>

<file path=xl/ctrlProps/ctrlProp315.xml><?xml version="1.0" encoding="utf-8"?>
<formControlPr xmlns="http://schemas.microsoft.com/office/spreadsheetml/2009/9/main" objectType="CheckBox" fmlaLink="$O$22" lockText="1" noThreeD="1"/>
</file>

<file path=xl/ctrlProps/ctrlProp316.xml><?xml version="1.0" encoding="utf-8"?>
<formControlPr xmlns="http://schemas.microsoft.com/office/spreadsheetml/2009/9/main" objectType="CheckBox" fmlaLink="$O$23" lockText="1" noThreeD="1"/>
</file>

<file path=xl/ctrlProps/ctrlProp317.xml><?xml version="1.0" encoding="utf-8"?>
<formControlPr xmlns="http://schemas.microsoft.com/office/spreadsheetml/2009/9/main" objectType="CheckBox" fmlaLink="$O$24" lockText="1" noThreeD="1"/>
</file>

<file path=xl/ctrlProps/ctrlProp318.xml><?xml version="1.0" encoding="utf-8"?>
<formControlPr xmlns="http://schemas.microsoft.com/office/spreadsheetml/2009/9/main" objectType="CheckBox" fmlaLink="$O$25" lockText="1" noThreeD="1"/>
</file>

<file path=xl/ctrlProps/ctrlProp319.xml><?xml version="1.0" encoding="utf-8"?>
<formControlPr xmlns="http://schemas.microsoft.com/office/spreadsheetml/2009/9/main" objectType="CheckBox" fmlaLink="$O$20" lockText="1" noThreeD="1"/>
</file>

<file path=xl/ctrlProps/ctrlProp320.xml><?xml version="1.0" encoding="utf-8"?>
<formControlPr xmlns="http://schemas.microsoft.com/office/spreadsheetml/2009/9/main" objectType="CheckBox" checked="Checked" fmlaLink="$O$26" lockText="1" noThreeD="1"/>
</file>

<file path=xl/ctrlProps/ctrlProp321.xml><?xml version="1.0" encoding="utf-8"?>
<formControlPr xmlns="http://schemas.microsoft.com/office/spreadsheetml/2009/9/main" objectType="CheckBox" fmlaLink="$Q$19" lockText="1" noThreeD="1"/>
</file>

<file path=xl/ctrlProps/ctrlProp322.xml><?xml version="1.0" encoding="utf-8"?>
<formControlPr xmlns="http://schemas.microsoft.com/office/spreadsheetml/2009/9/main" objectType="CheckBox" checked="Checked" fmlaLink="$Q$20" lockText="1" noThreeD="1"/>
</file>

<file path=xl/ctrlProps/ctrlProp323.xml><?xml version="1.0" encoding="utf-8"?>
<formControlPr xmlns="http://schemas.microsoft.com/office/spreadsheetml/2009/9/main" objectType="CheckBox" checked="Checked" fmlaLink="$S$19" lockText="1" noThreeD="1"/>
</file>

<file path=xl/ctrlProps/ctrlProp324.xml><?xml version="1.0" encoding="utf-8"?>
<formControlPr xmlns="http://schemas.microsoft.com/office/spreadsheetml/2009/9/main" objectType="CheckBox" fmlaLink="$S$20" lockText="1" noThreeD="1"/>
</file>

<file path=xl/ctrlProps/ctrlProp325.xml><?xml version="1.0" encoding="utf-8"?>
<formControlPr xmlns="http://schemas.microsoft.com/office/spreadsheetml/2009/9/main" objectType="CheckBox" fmlaLink="$S$21" lockText="1" noThreeD="1"/>
</file>

<file path=xl/ctrlProps/ctrlProp326.xml><?xml version="1.0" encoding="utf-8"?>
<formControlPr xmlns="http://schemas.microsoft.com/office/spreadsheetml/2009/9/main" objectType="CheckBox" fmlaLink="$S$22" lockText="1" noThreeD="1"/>
</file>

<file path=xl/ctrlProps/ctrlProp327.xml><?xml version="1.0" encoding="utf-8"?>
<formControlPr xmlns="http://schemas.microsoft.com/office/spreadsheetml/2009/9/main" objectType="CheckBox" fmlaLink="$M$34" lockText="1" noThreeD="1"/>
</file>

<file path=xl/ctrlProps/ctrlProp328.xml><?xml version="1.0" encoding="utf-8"?>
<formControlPr xmlns="http://schemas.microsoft.com/office/spreadsheetml/2009/9/main" objectType="CheckBox" fmlaLink="$M$35" lockText="1" noThreeD="1"/>
</file>

<file path=xl/ctrlProps/ctrlProp329.xml><?xml version="1.0" encoding="utf-8"?>
<formControlPr xmlns="http://schemas.microsoft.com/office/spreadsheetml/2009/9/main" objectType="CheckBox" fmlaLink="$M$28" lockText="1" noThreeD="1"/>
</file>

<file path=xl/ctrlProps/ctrlProp330.xml><?xml version="1.0" encoding="utf-8"?>
<formControlPr xmlns="http://schemas.microsoft.com/office/spreadsheetml/2009/9/main" objectType="CheckBox" fmlaLink="$M$29" lockText="1" noThreeD="1"/>
</file>

<file path=xl/ctrlProps/ctrlProp331.xml><?xml version="1.0" encoding="utf-8"?>
<formControlPr xmlns="http://schemas.microsoft.com/office/spreadsheetml/2009/9/main" objectType="CheckBox" fmlaLink="$M$30" lockText="1" noThreeD="1"/>
</file>

<file path=xl/ctrlProps/ctrlProp332.xml><?xml version="1.0" encoding="utf-8"?>
<formControlPr xmlns="http://schemas.microsoft.com/office/spreadsheetml/2009/9/main" objectType="CheckBox" fmlaLink="$M$31" lockText="1" noThreeD="1"/>
</file>

<file path=xl/ctrlProps/ctrlProp333.xml><?xml version="1.0" encoding="utf-8"?>
<formControlPr xmlns="http://schemas.microsoft.com/office/spreadsheetml/2009/9/main" objectType="CheckBox" fmlaLink="$M$32" lockText="1" noThreeD="1"/>
</file>

<file path=xl/ctrlProps/ctrlProp334.xml><?xml version="1.0" encoding="utf-8"?>
<formControlPr xmlns="http://schemas.microsoft.com/office/spreadsheetml/2009/9/main" objectType="CheckBox" fmlaLink="$M$33" lockText="1" noThreeD="1"/>
</file>

<file path=xl/ctrlProps/ctrlProp335.xml><?xml version="1.0" encoding="utf-8"?>
<formControlPr xmlns="http://schemas.microsoft.com/office/spreadsheetml/2009/9/main" objectType="CheckBox" fmlaLink="$M$36" lockText="1" noThreeD="1"/>
</file>

<file path=xl/ctrlProps/ctrlProp336.xml><?xml version="1.0" encoding="utf-8"?>
<formControlPr xmlns="http://schemas.microsoft.com/office/spreadsheetml/2009/9/main" objectType="CheckBox" fmlaLink="$Q$21" lockText="1" noThreeD="1"/>
</file>

<file path=xl/ctrlProps/ctrlProp337.xml><?xml version="1.0" encoding="utf-8"?>
<formControlPr xmlns="http://schemas.microsoft.com/office/spreadsheetml/2009/9/main" objectType="CheckBox" fmlaLink="$Q$22" lockText="1" noThreeD="1"/>
</file>

<file path=xl/ctrlProps/ctrlProp338.xml><?xml version="1.0" encoding="utf-8"?>
<formControlPr xmlns="http://schemas.microsoft.com/office/spreadsheetml/2009/9/main" objectType="CheckBox" fmlaLink="$M$25" lockText="1" noThreeD="1"/>
</file>

<file path=xl/ctrlProps/ctrlProp339.xml><?xml version="1.0" encoding="utf-8"?>
<formControlPr xmlns="http://schemas.microsoft.com/office/spreadsheetml/2009/9/main" objectType="CheckBox" fmlaLink="$M$26" lockText="1" noThreeD="1"/>
</file>

<file path=xl/ctrlProps/ctrlProp340.xml><?xml version="1.0" encoding="utf-8"?>
<formControlPr xmlns="http://schemas.microsoft.com/office/spreadsheetml/2009/9/main" objectType="CheckBox" fmlaLink="$M$19" lockText="1" noThreeD="1"/>
</file>

<file path=xl/ctrlProps/ctrlProp341.xml><?xml version="1.0" encoding="utf-8"?>
<formControlPr xmlns="http://schemas.microsoft.com/office/spreadsheetml/2009/9/main" objectType="CheckBox" checked="Checked" fmlaLink="$M$20" lockText="1" noThreeD="1"/>
</file>

<file path=xl/ctrlProps/ctrlProp342.xml><?xml version="1.0" encoding="utf-8"?>
<formControlPr xmlns="http://schemas.microsoft.com/office/spreadsheetml/2009/9/main" objectType="CheckBox" fmlaLink="$M$21" lockText="1" noThreeD="1"/>
</file>

<file path=xl/ctrlProps/ctrlProp343.xml><?xml version="1.0" encoding="utf-8"?>
<formControlPr xmlns="http://schemas.microsoft.com/office/spreadsheetml/2009/9/main" objectType="CheckBox" fmlaLink="$M$22" lockText="1" noThreeD="1"/>
</file>

<file path=xl/ctrlProps/ctrlProp344.xml><?xml version="1.0" encoding="utf-8"?>
<formControlPr xmlns="http://schemas.microsoft.com/office/spreadsheetml/2009/9/main" objectType="CheckBox" fmlaLink="$M$23" lockText="1" noThreeD="1"/>
</file>

<file path=xl/ctrlProps/ctrlProp345.xml><?xml version="1.0" encoding="utf-8"?>
<formControlPr xmlns="http://schemas.microsoft.com/office/spreadsheetml/2009/9/main" objectType="CheckBox" fmlaLink="$M$24" lockText="1" noThreeD="1"/>
</file>

<file path=xl/ctrlProps/ctrlProp346.xml><?xml version="1.0" encoding="utf-8"?>
<formControlPr xmlns="http://schemas.microsoft.com/office/spreadsheetml/2009/9/main" objectType="CheckBox" fmlaLink="$M$27" lockText="1" noThreeD="1"/>
</file>

<file path=xl/ctrlProps/ctrlProp347.xml><?xml version="1.0" encoding="utf-8"?>
<formControlPr xmlns="http://schemas.microsoft.com/office/spreadsheetml/2009/9/main" objectType="CheckBox" fmlaLink="$K$34" lockText="1" noThreeD="1"/>
</file>

<file path=xl/ctrlProps/ctrlProp348.xml><?xml version="1.0" encoding="utf-8"?>
<formControlPr xmlns="http://schemas.microsoft.com/office/spreadsheetml/2009/9/main" objectType="CheckBox" fmlaLink="$K$35" lockText="1" noThreeD="1"/>
</file>

<file path=xl/ctrlProps/ctrlProp349.xml><?xml version="1.0" encoding="utf-8"?>
<formControlPr xmlns="http://schemas.microsoft.com/office/spreadsheetml/2009/9/main" objectType="CheckBox" fmlaLink="$K$28" lockText="1" noThreeD="1"/>
</file>

<file path=xl/ctrlProps/ctrlProp350.xml><?xml version="1.0" encoding="utf-8"?>
<formControlPr xmlns="http://schemas.microsoft.com/office/spreadsheetml/2009/9/main" objectType="CheckBox" fmlaLink="$K$29" lockText="1" noThreeD="1"/>
</file>

<file path=xl/ctrlProps/ctrlProp351.xml><?xml version="1.0" encoding="utf-8"?>
<formControlPr xmlns="http://schemas.microsoft.com/office/spreadsheetml/2009/9/main" objectType="CheckBox" fmlaLink="$K$30" lockText="1" noThreeD="1"/>
</file>

<file path=xl/ctrlProps/ctrlProp352.xml><?xml version="1.0" encoding="utf-8"?>
<formControlPr xmlns="http://schemas.microsoft.com/office/spreadsheetml/2009/9/main" objectType="CheckBox" fmlaLink="$K$31" lockText="1" noThreeD="1"/>
</file>

<file path=xl/ctrlProps/ctrlProp353.xml><?xml version="1.0" encoding="utf-8"?>
<formControlPr xmlns="http://schemas.microsoft.com/office/spreadsheetml/2009/9/main" objectType="CheckBox" fmlaLink="$K$32" lockText="1" noThreeD="1"/>
</file>

<file path=xl/ctrlProps/ctrlProp354.xml><?xml version="1.0" encoding="utf-8"?>
<formControlPr xmlns="http://schemas.microsoft.com/office/spreadsheetml/2009/9/main" objectType="CheckBox" fmlaLink="$K$33" lockText="1" noThreeD="1"/>
</file>

<file path=xl/ctrlProps/ctrlProp355.xml><?xml version="1.0" encoding="utf-8"?>
<formControlPr xmlns="http://schemas.microsoft.com/office/spreadsheetml/2009/9/main" objectType="CheckBox" fmlaLink="$K$36" lockText="1" noThreeD="1"/>
</file>

<file path=xl/ctrlProps/ctrlProp356.xml><?xml version="1.0" encoding="utf-8"?>
<formControlPr xmlns="http://schemas.microsoft.com/office/spreadsheetml/2009/9/main" objectType="CheckBox" fmlaLink="$K$25" lockText="1" noThreeD="1"/>
</file>

<file path=xl/ctrlProps/ctrlProp357.xml><?xml version="1.0" encoding="utf-8"?>
<formControlPr xmlns="http://schemas.microsoft.com/office/spreadsheetml/2009/9/main" objectType="CheckBox" fmlaLink="$K$26" lockText="1" noThreeD="1"/>
</file>

<file path=xl/ctrlProps/ctrlProp358.xml><?xml version="1.0" encoding="utf-8"?>
<formControlPr xmlns="http://schemas.microsoft.com/office/spreadsheetml/2009/9/main" objectType="CheckBox" fmlaLink="$K$19" lockText="1" noThreeD="1"/>
</file>

<file path=xl/ctrlProps/ctrlProp359.xml><?xml version="1.0" encoding="utf-8"?>
<formControlPr xmlns="http://schemas.microsoft.com/office/spreadsheetml/2009/9/main" objectType="CheckBox" fmlaLink="$K$20" lockText="1" noThreeD="1"/>
</file>

<file path=xl/ctrlProps/ctrlProp360.xml><?xml version="1.0" encoding="utf-8"?>
<formControlPr xmlns="http://schemas.microsoft.com/office/spreadsheetml/2009/9/main" objectType="CheckBox" checked="Checked" fmlaLink="$K$21" lockText="1" noThreeD="1"/>
</file>

<file path=xl/ctrlProps/ctrlProp361.xml><?xml version="1.0" encoding="utf-8"?>
<formControlPr xmlns="http://schemas.microsoft.com/office/spreadsheetml/2009/9/main" objectType="CheckBox" fmlaLink="$K$22" lockText="1" noThreeD="1"/>
</file>

<file path=xl/ctrlProps/ctrlProp362.xml><?xml version="1.0" encoding="utf-8"?>
<formControlPr xmlns="http://schemas.microsoft.com/office/spreadsheetml/2009/9/main" objectType="CheckBox" fmlaLink="$K$23" lockText="1" noThreeD="1"/>
</file>

<file path=xl/ctrlProps/ctrlProp363.xml><?xml version="1.0" encoding="utf-8"?>
<formControlPr xmlns="http://schemas.microsoft.com/office/spreadsheetml/2009/9/main" objectType="CheckBox" fmlaLink="$K$24" lockText="1" noThreeD="1"/>
</file>

<file path=xl/ctrlProps/ctrlProp364.xml><?xml version="1.0" encoding="utf-8"?>
<formControlPr xmlns="http://schemas.microsoft.com/office/spreadsheetml/2009/9/main" objectType="CheckBox" fmlaLink="$K$27" lockText="1" noThreeD="1"/>
</file>

<file path=xl/ctrlProps/ctrlProp365.xml><?xml version="1.0" encoding="utf-8"?>
<formControlPr xmlns="http://schemas.microsoft.com/office/spreadsheetml/2009/9/main" objectType="CheckBox" fmlaLink="$O$19" lockText="1" noThreeD="1"/>
</file>

<file path=xl/ctrlProps/ctrlProp366.xml><?xml version="1.0" encoding="utf-8"?>
<formControlPr xmlns="http://schemas.microsoft.com/office/spreadsheetml/2009/9/main" objectType="CheckBox" fmlaLink="$O$21" lockText="1" noThreeD="1"/>
</file>

<file path=xl/ctrlProps/ctrlProp367.xml><?xml version="1.0" encoding="utf-8"?>
<formControlPr xmlns="http://schemas.microsoft.com/office/spreadsheetml/2009/9/main" objectType="CheckBox" fmlaLink="$O$22" lockText="1" noThreeD="1"/>
</file>

<file path=xl/ctrlProps/ctrlProp368.xml><?xml version="1.0" encoding="utf-8"?>
<formControlPr xmlns="http://schemas.microsoft.com/office/spreadsheetml/2009/9/main" objectType="CheckBox" checked="Checked" fmlaLink="$O$23" lockText="1" noThreeD="1"/>
</file>

<file path=xl/ctrlProps/ctrlProp369.xml><?xml version="1.0" encoding="utf-8"?>
<formControlPr xmlns="http://schemas.microsoft.com/office/spreadsheetml/2009/9/main" objectType="CheckBox" fmlaLink="$O$24" lockText="1" noThreeD="1"/>
</file>

<file path=xl/ctrlProps/ctrlProp370.xml><?xml version="1.0" encoding="utf-8"?>
<formControlPr xmlns="http://schemas.microsoft.com/office/spreadsheetml/2009/9/main" objectType="CheckBox" fmlaLink="$O$25" lockText="1" noThreeD="1"/>
</file>

<file path=xl/ctrlProps/ctrlProp371.xml><?xml version="1.0" encoding="utf-8"?>
<formControlPr xmlns="http://schemas.microsoft.com/office/spreadsheetml/2009/9/main" objectType="CheckBox" fmlaLink="$O$20" lockText="1" noThreeD="1"/>
</file>

<file path=xl/ctrlProps/ctrlProp372.xml><?xml version="1.0" encoding="utf-8"?>
<formControlPr xmlns="http://schemas.microsoft.com/office/spreadsheetml/2009/9/main" objectType="CheckBox" fmlaLink="$O$26" lockText="1" noThreeD="1"/>
</file>

<file path=xl/ctrlProps/ctrlProp373.xml><?xml version="1.0" encoding="utf-8"?>
<formControlPr xmlns="http://schemas.microsoft.com/office/spreadsheetml/2009/9/main" objectType="CheckBox" fmlaLink="$Q$19" lockText="1" noThreeD="1"/>
</file>

<file path=xl/ctrlProps/ctrlProp374.xml><?xml version="1.0" encoding="utf-8"?>
<formControlPr xmlns="http://schemas.microsoft.com/office/spreadsheetml/2009/9/main" objectType="CheckBox" fmlaLink="$Q$20" lockText="1" noThreeD="1"/>
</file>

<file path=xl/ctrlProps/ctrlProp375.xml><?xml version="1.0" encoding="utf-8"?>
<formControlPr xmlns="http://schemas.microsoft.com/office/spreadsheetml/2009/9/main" objectType="CheckBox" checked="Checked" fmlaLink="$S$19" lockText="1" noThreeD="1"/>
</file>

<file path=xl/ctrlProps/ctrlProp376.xml><?xml version="1.0" encoding="utf-8"?>
<formControlPr xmlns="http://schemas.microsoft.com/office/spreadsheetml/2009/9/main" objectType="CheckBox" fmlaLink="$S$20" lockText="1" noThreeD="1"/>
</file>

<file path=xl/ctrlProps/ctrlProp377.xml><?xml version="1.0" encoding="utf-8"?>
<formControlPr xmlns="http://schemas.microsoft.com/office/spreadsheetml/2009/9/main" objectType="CheckBox" fmlaLink="$S$21" lockText="1" noThreeD="1"/>
</file>

<file path=xl/ctrlProps/ctrlProp378.xml><?xml version="1.0" encoding="utf-8"?>
<formControlPr xmlns="http://schemas.microsoft.com/office/spreadsheetml/2009/9/main" objectType="CheckBox" fmlaLink="$S$22" lockText="1" noThreeD="1"/>
</file>

<file path=xl/ctrlProps/ctrlProp379.xml><?xml version="1.0" encoding="utf-8"?>
<formControlPr xmlns="http://schemas.microsoft.com/office/spreadsheetml/2009/9/main" objectType="CheckBox" fmlaLink="$M$34" lockText="1" noThreeD="1"/>
</file>

<file path=xl/ctrlProps/ctrlProp380.xml><?xml version="1.0" encoding="utf-8"?>
<formControlPr xmlns="http://schemas.microsoft.com/office/spreadsheetml/2009/9/main" objectType="CheckBox" fmlaLink="$M$35" lockText="1" noThreeD="1"/>
</file>

<file path=xl/ctrlProps/ctrlProp381.xml><?xml version="1.0" encoding="utf-8"?>
<formControlPr xmlns="http://schemas.microsoft.com/office/spreadsheetml/2009/9/main" objectType="CheckBox" fmlaLink="$M$28" lockText="1" noThreeD="1"/>
</file>

<file path=xl/ctrlProps/ctrlProp382.xml><?xml version="1.0" encoding="utf-8"?>
<formControlPr xmlns="http://schemas.microsoft.com/office/spreadsheetml/2009/9/main" objectType="CheckBox" fmlaLink="$M$29" lockText="1" noThreeD="1"/>
</file>

<file path=xl/ctrlProps/ctrlProp383.xml><?xml version="1.0" encoding="utf-8"?>
<formControlPr xmlns="http://schemas.microsoft.com/office/spreadsheetml/2009/9/main" objectType="CheckBox" checked="Checked" fmlaLink="$M$30" lockText="1" noThreeD="1"/>
</file>

<file path=xl/ctrlProps/ctrlProp384.xml><?xml version="1.0" encoding="utf-8"?>
<formControlPr xmlns="http://schemas.microsoft.com/office/spreadsheetml/2009/9/main" objectType="CheckBox" fmlaLink="$M$31" lockText="1" noThreeD="1"/>
</file>

<file path=xl/ctrlProps/ctrlProp385.xml><?xml version="1.0" encoding="utf-8"?>
<formControlPr xmlns="http://schemas.microsoft.com/office/spreadsheetml/2009/9/main" objectType="CheckBox" fmlaLink="$M$32" lockText="1" noThreeD="1"/>
</file>

<file path=xl/ctrlProps/ctrlProp386.xml><?xml version="1.0" encoding="utf-8"?>
<formControlPr xmlns="http://schemas.microsoft.com/office/spreadsheetml/2009/9/main" objectType="CheckBox" fmlaLink="$M$33" lockText="1" noThreeD="1"/>
</file>

<file path=xl/ctrlProps/ctrlProp387.xml><?xml version="1.0" encoding="utf-8"?>
<formControlPr xmlns="http://schemas.microsoft.com/office/spreadsheetml/2009/9/main" objectType="CheckBox" fmlaLink="$M$36" lockText="1" noThreeD="1"/>
</file>

<file path=xl/ctrlProps/ctrlProp388.xml><?xml version="1.0" encoding="utf-8"?>
<formControlPr xmlns="http://schemas.microsoft.com/office/spreadsheetml/2009/9/main" objectType="CheckBox" fmlaLink="$Q$21" lockText="1" noThreeD="1"/>
</file>

<file path=xl/ctrlProps/ctrlProp389.xml><?xml version="1.0" encoding="utf-8"?>
<formControlPr xmlns="http://schemas.microsoft.com/office/spreadsheetml/2009/9/main" objectType="CheckBox" checked="Checked" fmlaLink="$Q$22" lockText="1" noThreeD="1"/>
</file>

<file path=xl/ctrlProps/ctrlProp390.xml><?xml version="1.0" encoding="utf-8"?>
<formControlPr xmlns="http://schemas.microsoft.com/office/spreadsheetml/2009/9/main" objectType="CheckBox" fmlaLink="$M$25" lockText="1" noThreeD="1"/>
</file>

<file path=xl/ctrlProps/ctrlProp391.xml><?xml version="1.0" encoding="utf-8"?>
<formControlPr xmlns="http://schemas.microsoft.com/office/spreadsheetml/2009/9/main" objectType="CheckBox" fmlaLink="$M$26" lockText="1" noThreeD="1"/>
</file>

<file path=xl/ctrlProps/ctrlProp392.xml><?xml version="1.0" encoding="utf-8"?>
<formControlPr xmlns="http://schemas.microsoft.com/office/spreadsheetml/2009/9/main" objectType="CheckBox" fmlaLink="$M$19" lockText="1" noThreeD="1"/>
</file>

<file path=xl/ctrlProps/ctrlProp393.xml><?xml version="1.0" encoding="utf-8"?>
<formControlPr xmlns="http://schemas.microsoft.com/office/spreadsheetml/2009/9/main" objectType="CheckBox" fmlaLink="$M$20" lockText="1" noThreeD="1"/>
</file>

<file path=xl/ctrlProps/ctrlProp394.xml><?xml version="1.0" encoding="utf-8"?>
<formControlPr xmlns="http://schemas.microsoft.com/office/spreadsheetml/2009/9/main" objectType="CheckBox" fmlaLink="$M$21" lockText="1" noThreeD="1"/>
</file>

<file path=xl/ctrlProps/ctrlProp395.xml><?xml version="1.0" encoding="utf-8"?>
<formControlPr xmlns="http://schemas.microsoft.com/office/spreadsheetml/2009/9/main" objectType="CheckBox" fmlaLink="$M$22" lockText="1" noThreeD="1"/>
</file>

<file path=xl/ctrlProps/ctrlProp396.xml><?xml version="1.0" encoding="utf-8"?>
<formControlPr xmlns="http://schemas.microsoft.com/office/spreadsheetml/2009/9/main" objectType="CheckBox" fmlaLink="$M$23" lockText="1" noThreeD="1"/>
</file>

<file path=xl/ctrlProps/ctrlProp397.xml><?xml version="1.0" encoding="utf-8"?>
<formControlPr xmlns="http://schemas.microsoft.com/office/spreadsheetml/2009/9/main" objectType="CheckBox" fmlaLink="$M$24" lockText="1" noThreeD="1"/>
</file>

<file path=xl/ctrlProps/ctrlProp398.xml><?xml version="1.0" encoding="utf-8"?>
<formControlPr xmlns="http://schemas.microsoft.com/office/spreadsheetml/2009/9/main" objectType="CheckBox" fmlaLink="$M$27" lockText="1" noThreeD="1"/>
</file>

<file path=xl/ctrlProps/ctrlProp399.xml><?xml version="1.0" encoding="utf-8"?>
<formControlPr xmlns="http://schemas.microsoft.com/office/spreadsheetml/2009/9/main" objectType="CheckBox" fmlaLink="$K$34" lockText="1" noThreeD="1"/>
</file>

<file path=xl/ctrlProps/ctrlProp400.xml><?xml version="1.0" encoding="utf-8"?>
<formControlPr xmlns="http://schemas.microsoft.com/office/spreadsheetml/2009/9/main" objectType="CheckBox" fmlaLink="$K$35" lockText="1" noThreeD="1"/>
</file>

<file path=xl/ctrlProps/ctrlProp401.xml><?xml version="1.0" encoding="utf-8"?>
<formControlPr xmlns="http://schemas.microsoft.com/office/spreadsheetml/2009/9/main" objectType="CheckBox" fmlaLink="$K$28" lockText="1" noThreeD="1"/>
</file>

<file path=xl/ctrlProps/ctrlProp402.xml><?xml version="1.0" encoding="utf-8"?>
<formControlPr xmlns="http://schemas.microsoft.com/office/spreadsheetml/2009/9/main" objectType="CheckBox" fmlaLink="$K$29" lockText="1" noThreeD="1"/>
</file>

<file path=xl/ctrlProps/ctrlProp403.xml><?xml version="1.0" encoding="utf-8"?>
<formControlPr xmlns="http://schemas.microsoft.com/office/spreadsheetml/2009/9/main" objectType="CheckBox" fmlaLink="$K$30" lockText="1" noThreeD="1"/>
</file>

<file path=xl/ctrlProps/ctrlProp404.xml><?xml version="1.0" encoding="utf-8"?>
<formControlPr xmlns="http://schemas.microsoft.com/office/spreadsheetml/2009/9/main" objectType="CheckBox" fmlaLink="$K$31" lockText="1" noThreeD="1"/>
</file>

<file path=xl/ctrlProps/ctrlProp405.xml><?xml version="1.0" encoding="utf-8"?>
<formControlPr xmlns="http://schemas.microsoft.com/office/spreadsheetml/2009/9/main" objectType="CheckBox" fmlaLink="$K$32" lockText="1" noThreeD="1"/>
</file>

<file path=xl/ctrlProps/ctrlProp406.xml><?xml version="1.0" encoding="utf-8"?>
<formControlPr xmlns="http://schemas.microsoft.com/office/spreadsheetml/2009/9/main" objectType="CheckBox" fmlaLink="$K$33" lockText="1" noThreeD="1"/>
</file>

<file path=xl/ctrlProps/ctrlProp407.xml><?xml version="1.0" encoding="utf-8"?>
<formControlPr xmlns="http://schemas.microsoft.com/office/spreadsheetml/2009/9/main" objectType="CheckBox" fmlaLink="$K$36" lockText="1" noThreeD="1"/>
</file>

<file path=xl/ctrlProps/ctrlProp408.xml><?xml version="1.0" encoding="utf-8"?>
<formControlPr xmlns="http://schemas.microsoft.com/office/spreadsheetml/2009/9/main" objectType="CheckBox" fmlaLink="$K$25" lockText="1" noThreeD="1"/>
</file>

<file path=xl/ctrlProps/ctrlProp409.xml><?xml version="1.0" encoding="utf-8"?>
<formControlPr xmlns="http://schemas.microsoft.com/office/spreadsheetml/2009/9/main" objectType="CheckBox" fmlaLink="$K$26" lockText="1" noThreeD="1"/>
</file>

<file path=xl/ctrlProps/ctrlProp410.xml><?xml version="1.0" encoding="utf-8"?>
<formControlPr xmlns="http://schemas.microsoft.com/office/spreadsheetml/2009/9/main" objectType="CheckBox" fmlaLink="$K$19" lockText="1" noThreeD="1"/>
</file>

<file path=xl/ctrlProps/ctrlProp411.xml><?xml version="1.0" encoding="utf-8"?>
<formControlPr xmlns="http://schemas.microsoft.com/office/spreadsheetml/2009/9/main" objectType="CheckBox" fmlaLink="$K$20" lockText="1" noThreeD="1"/>
</file>

<file path=xl/ctrlProps/ctrlProp412.xml><?xml version="1.0" encoding="utf-8"?>
<formControlPr xmlns="http://schemas.microsoft.com/office/spreadsheetml/2009/9/main" objectType="CheckBox" checked="Checked" fmlaLink="$K$21" lockText="1" noThreeD="1"/>
</file>

<file path=xl/ctrlProps/ctrlProp413.xml><?xml version="1.0" encoding="utf-8"?>
<formControlPr xmlns="http://schemas.microsoft.com/office/spreadsheetml/2009/9/main" objectType="CheckBox" fmlaLink="$K$22" lockText="1" noThreeD="1"/>
</file>

<file path=xl/ctrlProps/ctrlProp414.xml><?xml version="1.0" encoding="utf-8"?>
<formControlPr xmlns="http://schemas.microsoft.com/office/spreadsheetml/2009/9/main" objectType="CheckBox" fmlaLink="$K$23" lockText="1" noThreeD="1"/>
</file>

<file path=xl/ctrlProps/ctrlProp415.xml><?xml version="1.0" encoding="utf-8"?>
<formControlPr xmlns="http://schemas.microsoft.com/office/spreadsheetml/2009/9/main" objectType="CheckBox" fmlaLink="$K$24" lockText="1" noThreeD="1"/>
</file>

<file path=xl/ctrlProps/ctrlProp416.xml><?xml version="1.0" encoding="utf-8"?>
<formControlPr xmlns="http://schemas.microsoft.com/office/spreadsheetml/2009/9/main" objectType="CheckBox" fmlaLink="$K$27" lockText="1" noThreeD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05E597EC-B119-4485-B919-ABC1F548B901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8CA1C9DE-6664-4AD1-BE9F-7C86452B46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DF1BB1ED-E458-4A4B-A3EA-1A97B8289ECD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5449957"/>
              <a:ext cx="1087507" cy="1478031"/>
              <a:chOff x="1883093" y="4572945"/>
              <a:chExt cx="969630" cy="1683077"/>
            </a:xfrm>
          </xdr:grpSpPr>
          <xdr:sp macro="" textlink="">
            <xdr:nvSpPr>
              <xdr:cNvPr id="13313" name="Check Box 1" hidden="1">
                <a:extLst>
                  <a:ext uri="{63B3BB69-23CF-44E3-9099-C40C66FF867C}">
                    <a14:compatExt spid="_x0000_s13313"/>
                  </a:ext>
                  <a:ext uri="{FF2B5EF4-FFF2-40B4-BE49-F238E27FC236}">
                    <a16:creationId xmlns:a16="http://schemas.microsoft.com/office/drawing/2014/main" id="{00000000-0008-0000-1F00-00000180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13314" name="Check Box 2" hidden="1">
                <a:extLst>
                  <a:ext uri="{63B3BB69-23CF-44E3-9099-C40C66FF867C}">
                    <a14:compatExt spid="_x0000_s13314"/>
                  </a:ext>
                  <a:ext uri="{FF2B5EF4-FFF2-40B4-BE49-F238E27FC236}">
                    <a16:creationId xmlns:a16="http://schemas.microsoft.com/office/drawing/2014/main" id="{00000000-0008-0000-1F00-00000280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13315" name="Check Box 3" hidden="1">
                <a:extLst>
                  <a:ext uri="{63B3BB69-23CF-44E3-9099-C40C66FF867C}">
                    <a14:compatExt spid="_x0000_s13315"/>
                  </a:ext>
                  <a:ext uri="{FF2B5EF4-FFF2-40B4-BE49-F238E27FC236}">
                    <a16:creationId xmlns:a16="http://schemas.microsoft.com/office/drawing/2014/main" id="{00000000-0008-0000-1F00-000003800000}"/>
                  </a:ext>
                </a:extLst>
              </xdr:cNvPr>
              <xdr:cNvSpPr/>
            </xdr:nvSpPr>
            <xdr:spPr bwMode="auto">
              <a:xfrm>
                <a:off x="1883093" y="516849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13316" name="Check Box 4" hidden="1">
                <a:extLst>
                  <a:ext uri="{63B3BB69-23CF-44E3-9099-C40C66FF867C}">
                    <a14:compatExt spid="_x0000_s13316"/>
                  </a:ext>
                  <a:ext uri="{FF2B5EF4-FFF2-40B4-BE49-F238E27FC236}">
                    <a16:creationId xmlns:a16="http://schemas.microsoft.com/office/drawing/2014/main" id="{00000000-0008-0000-1F00-00000480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13317" name="Check Box 5" hidden="1">
                <a:extLst>
                  <a:ext uri="{63B3BB69-23CF-44E3-9099-C40C66FF867C}">
                    <a14:compatExt spid="_x0000_s13317"/>
                  </a:ext>
                  <a:ext uri="{FF2B5EF4-FFF2-40B4-BE49-F238E27FC236}">
                    <a16:creationId xmlns:a16="http://schemas.microsoft.com/office/drawing/2014/main" id="{00000000-0008-0000-1F00-00000580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13318" name="Check Box 6" hidden="1">
                <a:extLst>
                  <a:ext uri="{63B3BB69-23CF-44E3-9099-C40C66FF867C}">
                    <a14:compatExt spid="_x0000_s13318"/>
                  </a:ext>
                  <a:ext uri="{FF2B5EF4-FFF2-40B4-BE49-F238E27FC236}">
                    <a16:creationId xmlns:a16="http://schemas.microsoft.com/office/drawing/2014/main" id="{00000000-0008-0000-1F00-000006800000}"/>
                  </a:ext>
                </a:extLst>
              </xdr:cNvPr>
              <xdr:cNvSpPr/>
            </xdr:nvSpPr>
            <xdr:spPr bwMode="auto">
              <a:xfrm>
                <a:off x="1883093" y="576404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13319" name="Check Box 7" hidden="1">
                <a:extLst>
                  <a:ext uri="{63B3BB69-23CF-44E3-9099-C40C66FF867C}">
                    <a14:compatExt spid="_x0000_s13319"/>
                  </a:ext>
                  <a:ext uri="{FF2B5EF4-FFF2-40B4-BE49-F238E27FC236}">
                    <a16:creationId xmlns:a16="http://schemas.microsoft.com/office/drawing/2014/main" id="{00000000-0008-0000-1F00-00000780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13320" name="Check Box 8" hidden="1">
                <a:extLst>
                  <a:ext uri="{63B3BB69-23CF-44E3-9099-C40C66FF867C}">
                    <a14:compatExt spid="_x0000_s13320"/>
                  </a:ext>
                  <a:ext uri="{FF2B5EF4-FFF2-40B4-BE49-F238E27FC236}">
                    <a16:creationId xmlns:a16="http://schemas.microsoft.com/office/drawing/2014/main" id="{00000000-0008-0000-1F00-000008800000}"/>
                  </a:ext>
                </a:extLst>
              </xdr:cNvPr>
              <xdr:cNvSpPr/>
            </xdr:nvSpPr>
            <xdr:spPr bwMode="auto">
              <a:xfrm>
                <a:off x="1883093" y="5962563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26B52AB2-AD9A-4EC7-A0D1-2BA915341F2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5742747"/>
              <a:ext cx="1758812" cy="461755"/>
              <a:chOff x="3535676" y="4572045"/>
              <a:chExt cx="1554480" cy="449553"/>
            </a:xfrm>
          </xdr:grpSpPr>
          <xdr:sp macro="" textlink="">
            <xdr:nvSpPr>
              <xdr:cNvPr id="13321" name="Check Box 9" hidden="1">
                <a:extLst>
                  <a:ext uri="{63B3BB69-23CF-44E3-9099-C40C66FF867C}">
                    <a14:compatExt spid="_x0000_s13321"/>
                  </a:ext>
                  <a:ext uri="{FF2B5EF4-FFF2-40B4-BE49-F238E27FC236}">
                    <a16:creationId xmlns:a16="http://schemas.microsoft.com/office/drawing/2014/main" id="{00000000-0008-0000-1F00-000009800000}"/>
                  </a:ext>
                </a:extLst>
              </xdr:cNvPr>
              <xdr:cNvSpPr/>
            </xdr:nvSpPr>
            <xdr:spPr bwMode="auto">
              <a:xfrm>
                <a:off x="3535680" y="4572045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13322" name="Check Box 10" hidden="1">
                <a:extLst>
                  <a:ext uri="{63B3BB69-23CF-44E3-9099-C40C66FF867C}">
                    <a14:compatExt spid="_x0000_s13322"/>
                  </a:ext>
                  <a:ext uri="{FF2B5EF4-FFF2-40B4-BE49-F238E27FC236}">
                    <a16:creationId xmlns:a16="http://schemas.microsoft.com/office/drawing/2014/main" id="{00000000-0008-0000-1F00-00000A800000}"/>
                  </a:ext>
                </a:extLst>
              </xdr:cNvPr>
              <xdr:cNvSpPr/>
            </xdr:nvSpPr>
            <xdr:spPr bwMode="auto">
              <a:xfrm>
                <a:off x="3535676" y="4747278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23D56269-BA2B-4572-A3A0-D00FC4EDCB9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1349" y="5930762"/>
              <a:ext cx="781878" cy="725971"/>
              <a:chOff x="5394960" y="4838701"/>
              <a:chExt cx="568701" cy="722503"/>
            </a:xfrm>
          </xdr:grpSpPr>
          <xdr:sp macro="" textlink="">
            <xdr:nvSpPr>
              <xdr:cNvPr id="13323" name="Check Box 11" hidden="1">
                <a:extLst>
                  <a:ext uri="{63B3BB69-23CF-44E3-9099-C40C66FF867C}">
                    <a14:compatExt spid="_x0000_s13323"/>
                  </a:ext>
                  <a:ext uri="{FF2B5EF4-FFF2-40B4-BE49-F238E27FC236}">
                    <a16:creationId xmlns:a16="http://schemas.microsoft.com/office/drawing/2014/main" id="{00000000-0008-0000-1F00-00000B800000}"/>
                  </a:ext>
                </a:extLst>
              </xdr:cNvPr>
              <xdr:cNvSpPr/>
            </xdr:nvSpPr>
            <xdr:spPr bwMode="auto">
              <a:xfrm>
                <a:off x="5394960" y="4838701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13324" name="Check Box 12" hidden="1">
                <a:extLst>
                  <a:ext uri="{63B3BB69-23CF-44E3-9099-C40C66FF867C}">
                    <a14:compatExt spid="_x0000_s13324"/>
                  </a:ext>
                  <a:ext uri="{FF2B5EF4-FFF2-40B4-BE49-F238E27FC236}">
                    <a16:creationId xmlns:a16="http://schemas.microsoft.com/office/drawing/2014/main" id="{00000000-0008-0000-1F00-00000C80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13325" name="Check Box 13" hidden="1">
                <a:extLst>
                  <a:ext uri="{63B3BB69-23CF-44E3-9099-C40C66FF867C}">
                    <a14:compatExt spid="_x0000_s13325"/>
                  </a:ext>
                  <a:ext uri="{FF2B5EF4-FFF2-40B4-BE49-F238E27FC236}">
                    <a16:creationId xmlns:a16="http://schemas.microsoft.com/office/drawing/2014/main" id="{00000000-0008-0000-1F00-00000D80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13326" name="Check Box 14" hidden="1">
                <a:extLst>
                  <a:ext uri="{63B3BB69-23CF-44E3-9099-C40C66FF867C}">
                    <a14:compatExt spid="_x0000_s13326"/>
                  </a:ext>
                  <a:ext uri="{FF2B5EF4-FFF2-40B4-BE49-F238E27FC236}">
                    <a16:creationId xmlns:a16="http://schemas.microsoft.com/office/drawing/2014/main" id="{00000000-0008-0000-1F00-00000E800000}"/>
                  </a:ext>
                </a:extLst>
              </xdr:cNvPr>
              <xdr:cNvSpPr/>
            </xdr:nvSpPr>
            <xdr:spPr bwMode="auto">
              <a:xfrm>
                <a:off x="5394960" y="5417808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8F67B4CD-1371-4F83-BF11-B0285291B377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12221" y="3708538"/>
              <a:ext cx="1473062" cy="1496253"/>
              <a:chOff x="903513" y="4495527"/>
              <a:chExt cx="1122959" cy="1545361"/>
            </a:xfrm>
          </xdr:grpSpPr>
          <xdr:sp macro="" textlink="">
            <xdr:nvSpPr>
              <xdr:cNvPr id="13327" name="Check Box 15" hidden="1">
                <a:extLst>
                  <a:ext uri="{63B3BB69-23CF-44E3-9099-C40C66FF867C}">
                    <a14:compatExt spid="_x0000_s13327"/>
                  </a:ext>
                  <a:ext uri="{FF2B5EF4-FFF2-40B4-BE49-F238E27FC236}">
                    <a16:creationId xmlns:a16="http://schemas.microsoft.com/office/drawing/2014/main" id="{00000000-0008-0000-1F00-00000F80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13328" name="Check Box 16" hidden="1">
                <a:extLst>
                  <a:ext uri="{63B3BB69-23CF-44E3-9099-C40C66FF867C}">
                    <a14:compatExt spid="_x0000_s13328"/>
                  </a:ext>
                  <a:ext uri="{FF2B5EF4-FFF2-40B4-BE49-F238E27FC236}">
                    <a16:creationId xmlns:a16="http://schemas.microsoft.com/office/drawing/2014/main" id="{00000000-0008-0000-1F00-00001080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13329" name="Check Box 17" hidden="1">
                <a:extLst>
                  <a:ext uri="{63B3BB69-23CF-44E3-9099-C40C66FF867C}">
                    <a14:compatExt spid="_x0000_s13329"/>
                  </a:ext>
                  <a:ext uri="{FF2B5EF4-FFF2-40B4-BE49-F238E27FC236}">
                    <a16:creationId xmlns:a16="http://schemas.microsoft.com/office/drawing/2014/main" id="{00000000-0008-0000-1F00-000011800000}"/>
                  </a:ext>
                </a:extLst>
              </xdr:cNvPr>
              <xdr:cNvSpPr/>
            </xdr:nvSpPr>
            <xdr:spPr bwMode="auto">
              <a:xfrm>
                <a:off x="903513" y="4495527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13330" name="Check Box 18" hidden="1">
                <a:extLst>
                  <a:ext uri="{63B3BB69-23CF-44E3-9099-C40C66FF867C}">
                    <a14:compatExt spid="_x0000_s13330"/>
                  </a:ext>
                  <a:ext uri="{FF2B5EF4-FFF2-40B4-BE49-F238E27FC236}">
                    <a16:creationId xmlns:a16="http://schemas.microsoft.com/office/drawing/2014/main" id="{00000000-0008-0000-1F00-0000128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13331" name="Check Box 19" hidden="1">
                <a:extLst>
                  <a:ext uri="{63B3BB69-23CF-44E3-9099-C40C66FF867C}">
                    <a14:compatExt spid="_x0000_s13331"/>
                  </a:ext>
                  <a:ext uri="{FF2B5EF4-FFF2-40B4-BE49-F238E27FC236}">
                    <a16:creationId xmlns:a16="http://schemas.microsoft.com/office/drawing/2014/main" id="{00000000-0008-0000-1F00-00001380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13332" name="Check Box 20" hidden="1">
                <a:extLst>
                  <a:ext uri="{63B3BB69-23CF-44E3-9099-C40C66FF867C}">
                    <a14:compatExt spid="_x0000_s13332"/>
                  </a:ext>
                  <a:ext uri="{FF2B5EF4-FFF2-40B4-BE49-F238E27FC236}">
                    <a16:creationId xmlns:a16="http://schemas.microsoft.com/office/drawing/2014/main" id="{00000000-0008-0000-1F00-000014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13333" name="Check Box 21" hidden="1">
                <a:extLst>
                  <a:ext uri="{63B3BB69-23CF-44E3-9099-C40C66FF867C}">
                    <a14:compatExt spid="_x0000_s13333"/>
                  </a:ext>
                  <a:ext uri="{FF2B5EF4-FFF2-40B4-BE49-F238E27FC236}">
                    <a16:creationId xmlns:a16="http://schemas.microsoft.com/office/drawing/2014/main" id="{00000000-0008-0000-1F00-00001580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13334" name="Check Box 22" hidden="1">
                <a:extLst>
                  <a:ext uri="{63B3BB69-23CF-44E3-9099-C40C66FF867C}">
                    <a14:compatExt spid="_x0000_s13334"/>
                  </a:ext>
                  <a:ext uri="{FF2B5EF4-FFF2-40B4-BE49-F238E27FC236}">
                    <a16:creationId xmlns:a16="http://schemas.microsoft.com/office/drawing/2014/main" id="{00000000-0008-0000-1F00-000016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13335" name="Check Box 23" hidden="1">
                <a:extLst>
                  <a:ext uri="{63B3BB69-23CF-44E3-9099-C40C66FF867C}">
                    <a14:compatExt spid="_x0000_s13335"/>
                  </a:ext>
                  <a:ext uri="{FF2B5EF4-FFF2-40B4-BE49-F238E27FC236}">
                    <a16:creationId xmlns:a16="http://schemas.microsoft.com/office/drawing/2014/main" id="{00000000-0008-0000-1F00-000017800000}"/>
                  </a:ext>
                </a:extLst>
              </xdr:cNvPr>
              <xdr:cNvSpPr/>
            </xdr:nvSpPr>
            <xdr:spPr bwMode="auto">
              <a:xfrm>
                <a:off x="903513" y="5855054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5F65D151-C829-4D27-B4CE-7A12B7B51CE7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6297267"/>
              <a:ext cx="1758812" cy="378516"/>
              <a:chOff x="3535676" y="4533511"/>
              <a:chExt cx="1554480" cy="513814"/>
            </a:xfrm>
          </xdr:grpSpPr>
          <xdr:sp macro="" textlink="">
            <xdr:nvSpPr>
              <xdr:cNvPr id="13336" name="Check Box 24" hidden="1">
                <a:extLst>
                  <a:ext uri="{63B3BB69-23CF-44E3-9099-C40C66FF867C}">
                    <a14:compatExt spid="_x0000_s13336"/>
                  </a:ext>
                  <a:ext uri="{FF2B5EF4-FFF2-40B4-BE49-F238E27FC236}">
                    <a16:creationId xmlns:a16="http://schemas.microsoft.com/office/drawing/2014/main" id="{00000000-0008-0000-1F00-000018800000}"/>
                  </a:ext>
                </a:extLst>
              </xdr:cNvPr>
              <xdr:cNvSpPr/>
            </xdr:nvSpPr>
            <xdr:spPr bwMode="auto">
              <a:xfrm>
                <a:off x="3535680" y="4533511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13337" name="Check Box 25" hidden="1">
                <a:extLst>
                  <a:ext uri="{63B3BB69-23CF-44E3-9099-C40C66FF867C}">
                    <a14:compatExt spid="_x0000_s13337"/>
                  </a:ext>
                  <a:ext uri="{FF2B5EF4-FFF2-40B4-BE49-F238E27FC236}">
                    <a16:creationId xmlns:a16="http://schemas.microsoft.com/office/drawing/2014/main" id="{00000000-0008-0000-1F00-000019800000}"/>
                  </a:ext>
                </a:extLst>
              </xdr:cNvPr>
              <xdr:cNvSpPr/>
            </xdr:nvSpPr>
            <xdr:spPr bwMode="auto">
              <a:xfrm>
                <a:off x="3535676" y="4773005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1D9E56CE-8D96-4213-A870-E4D5FFE6B9DA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3708538"/>
              <a:ext cx="1347995" cy="1486728"/>
              <a:chOff x="903513" y="4495534"/>
              <a:chExt cx="1122959" cy="1535575"/>
            </a:xfrm>
          </xdr:grpSpPr>
          <xdr:sp macro="" textlink="">
            <xdr:nvSpPr>
              <xdr:cNvPr id="13338" name="Check Box 26" hidden="1">
                <a:extLst>
                  <a:ext uri="{63B3BB69-23CF-44E3-9099-C40C66FF867C}">
                    <a14:compatExt spid="_x0000_s13338"/>
                  </a:ext>
                  <a:ext uri="{FF2B5EF4-FFF2-40B4-BE49-F238E27FC236}">
                    <a16:creationId xmlns:a16="http://schemas.microsoft.com/office/drawing/2014/main" id="{00000000-0008-0000-1F00-00001A80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13339" name="Check Box 27" hidden="1">
                <a:extLst>
                  <a:ext uri="{63B3BB69-23CF-44E3-9099-C40C66FF867C}">
                    <a14:compatExt spid="_x0000_s13339"/>
                  </a:ext>
                  <a:ext uri="{FF2B5EF4-FFF2-40B4-BE49-F238E27FC236}">
                    <a16:creationId xmlns:a16="http://schemas.microsoft.com/office/drawing/2014/main" id="{00000000-0008-0000-1F00-00001B80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13340" name="Check Box 28" hidden="1">
                <a:extLst>
                  <a:ext uri="{63B3BB69-23CF-44E3-9099-C40C66FF867C}">
                    <a14:compatExt spid="_x0000_s13340"/>
                  </a:ext>
                  <a:ext uri="{FF2B5EF4-FFF2-40B4-BE49-F238E27FC236}">
                    <a16:creationId xmlns:a16="http://schemas.microsoft.com/office/drawing/2014/main" id="{00000000-0008-0000-1F00-00001C800000}"/>
                  </a:ext>
                </a:extLst>
              </xdr:cNvPr>
              <xdr:cNvSpPr/>
            </xdr:nvSpPr>
            <xdr:spPr bwMode="auto">
              <a:xfrm>
                <a:off x="903513" y="4495534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13341" name="Check Box 29" hidden="1">
                <a:extLst>
                  <a:ext uri="{63B3BB69-23CF-44E3-9099-C40C66FF867C}">
                    <a14:compatExt spid="_x0000_s13341"/>
                  </a:ext>
                  <a:ext uri="{FF2B5EF4-FFF2-40B4-BE49-F238E27FC236}">
                    <a16:creationId xmlns:a16="http://schemas.microsoft.com/office/drawing/2014/main" id="{00000000-0008-0000-1F00-00001D80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13342" name="Check Box 30" hidden="1">
                <a:extLst>
                  <a:ext uri="{63B3BB69-23CF-44E3-9099-C40C66FF867C}">
                    <a14:compatExt spid="_x0000_s13342"/>
                  </a:ext>
                  <a:ext uri="{FF2B5EF4-FFF2-40B4-BE49-F238E27FC236}">
                    <a16:creationId xmlns:a16="http://schemas.microsoft.com/office/drawing/2014/main" id="{00000000-0008-0000-1F00-00001E8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13343" name="Check Box 31" hidden="1">
                <a:extLst>
                  <a:ext uri="{63B3BB69-23CF-44E3-9099-C40C66FF867C}">
                    <a14:compatExt spid="_x0000_s13343"/>
                  </a:ext>
                  <a:ext uri="{FF2B5EF4-FFF2-40B4-BE49-F238E27FC236}">
                    <a16:creationId xmlns:a16="http://schemas.microsoft.com/office/drawing/2014/main" id="{00000000-0008-0000-1F00-00001F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13344" name="Check Box 32" hidden="1">
                <a:extLst>
                  <a:ext uri="{63B3BB69-23CF-44E3-9099-C40C66FF867C}">
                    <a14:compatExt spid="_x0000_s13344"/>
                  </a:ext>
                  <a:ext uri="{FF2B5EF4-FFF2-40B4-BE49-F238E27FC236}">
                    <a16:creationId xmlns:a16="http://schemas.microsoft.com/office/drawing/2014/main" id="{00000000-0008-0000-1F00-00002080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13345" name="Check Box 33" hidden="1">
                <a:extLst>
                  <a:ext uri="{63B3BB69-23CF-44E3-9099-C40C66FF867C}">
                    <a14:compatExt spid="_x0000_s13345"/>
                  </a:ext>
                  <a:ext uri="{FF2B5EF4-FFF2-40B4-BE49-F238E27FC236}">
                    <a16:creationId xmlns:a16="http://schemas.microsoft.com/office/drawing/2014/main" id="{00000000-0008-0000-1F00-000021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13346" name="Check Box 34" hidden="1">
                <a:extLst>
                  <a:ext uri="{63B3BB69-23CF-44E3-9099-C40C66FF867C}">
                    <a14:compatExt spid="_x0000_s13346"/>
                  </a:ext>
                  <a:ext uri="{FF2B5EF4-FFF2-40B4-BE49-F238E27FC236}">
                    <a16:creationId xmlns:a16="http://schemas.microsoft.com/office/drawing/2014/main" id="{00000000-0008-0000-1F00-000022800000}"/>
                  </a:ext>
                </a:extLst>
              </xdr:cNvPr>
              <xdr:cNvSpPr/>
            </xdr:nvSpPr>
            <xdr:spPr bwMode="auto">
              <a:xfrm>
                <a:off x="903513" y="5903547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B6BE27B3-0CFC-4F01-8CE8-8473D6D155F2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B320AC53-D7EE-483B-9844-41B0D293150D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0AF10B7F-17BE-4FC6-9B5E-B3000BC75DF2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EB908C13-55B6-4839-BECE-98E147939E4E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DED2F78E-B0E3-4F41-B19B-9D623352CE96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8BC90BDC-56FE-40AF-B4E4-BE0E6E79ADF6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76A75234-6B8C-4AD9-8269-76F6E92D2F44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FEAB8042-45A0-4124-B49B-4121739BD64A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AF5DC336-E788-44C7-BF77-945DC0B8D080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82F515AD-158B-47B0-BCAC-B4571F40C52D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5425" y="4570343"/>
              <a:ext cx="1076325" cy="1803124"/>
              <a:chOff x="903513" y="4495523"/>
              <a:chExt cx="1122959" cy="1545362"/>
            </a:xfrm>
          </xdr:grpSpPr>
          <xdr:sp macro="" textlink="">
            <xdr:nvSpPr>
              <xdr:cNvPr id="13347" name="Check Box 35" hidden="1">
                <a:extLst>
                  <a:ext uri="{63B3BB69-23CF-44E3-9099-C40C66FF867C}">
                    <a14:compatExt spid="_x0000_s13347"/>
                  </a:ext>
                  <a:ext uri="{FF2B5EF4-FFF2-40B4-BE49-F238E27FC236}">
                    <a16:creationId xmlns:a16="http://schemas.microsoft.com/office/drawing/2014/main" id="{00000000-0008-0000-1F00-00002380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13348" name="Check Box 36" hidden="1">
                <a:extLst>
                  <a:ext uri="{63B3BB69-23CF-44E3-9099-C40C66FF867C}">
                    <a14:compatExt spid="_x0000_s13348"/>
                  </a:ext>
                  <a:ext uri="{FF2B5EF4-FFF2-40B4-BE49-F238E27FC236}">
                    <a16:creationId xmlns:a16="http://schemas.microsoft.com/office/drawing/2014/main" id="{00000000-0008-0000-1F00-00002480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13349" name="Check Box 37" hidden="1">
                <a:extLst>
                  <a:ext uri="{63B3BB69-23CF-44E3-9099-C40C66FF867C}">
                    <a14:compatExt spid="_x0000_s13349"/>
                  </a:ext>
                  <a:ext uri="{FF2B5EF4-FFF2-40B4-BE49-F238E27FC236}">
                    <a16:creationId xmlns:a16="http://schemas.microsoft.com/office/drawing/2014/main" id="{00000000-0008-0000-1F00-000025800000}"/>
                  </a:ext>
                </a:extLst>
              </xdr:cNvPr>
              <xdr:cNvSpPr/>
            </xdr:nvSpPr>
            <xdr:spPr bwMode="auto">
              <a:xfrm>
                <a:off x="903513" y="4495523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13350" name="Check Box 38" hidden="1">
                <a:extLst>
                  <a:ext uri="{63B3BB69-23CF-44E3-9099-C40C66FF867C}">
                    <a14:compatExt spid="_x0000_s13350"/>
                  </a:ext>
                  <a:ext uri="{FF2B5EF4-FFF2-40B4-BE49-F238E27FC236}">
                    <a16:creationId xmlns:a16="http://schemas.microsoft.com/office/drawing/2014/main" id="{00000000-0008-0000-1F00-0000268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13351" name="Check Box 39" hidden="1">
                <a:extLst>
                  <a:ext uri="{63B3BB69-23CF-44E3-9099-C40C66FF867C}">
                    <a14:compatExt spid="_x0000_s13351"/>
                  </a:ext>
                  <a:ext uri="{FF2B5EF4-FFF2-40B4-BE49-F238E27FC236}">
                    <a16:creationId xmlns:a16="http://schemas.microsoft.com/office/drawing/2014/main" id="{00000000-0008-0000-1F00-0000278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13352" name="Check Box 40" hidden="1">
                <a:extLst>
                  <a:ext uri="{63B3BB69-23CF-44E3-9099-C40C66FF867C}">
                    <a14:compatExt spid="_x0000_s13352"/>
                  </a:ext>
                  <a:ext uri="{FF2B5EF4-FFF2-40B4-BE49-F238E27FC236}">
                    <a16:creationId xmlns:a16="http://schemas.microsoft.com/office/drawing/2014/main" id="{00000000-0008-0000-1F00-000028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13353" name="Check Box 41" hidden="1">
                <a:extLst>
                  <a:ext uri="{63B3BB69-23CF-44E3-9099-C40C66FF867C}">
                    <a14:compatExt spid="_x0000_s13353"/>
                  </a:ext>
                  <a:ext uri="{FF2B5EF4-FFF2-40B4-BE49-F238E27FC236}">
                    <a16:creationId xmlns:a16="http://schemas.microsoft.com/office/drawing/2014/main" id="{00000000-0008-0000-1F00-00002980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13354" name="Check Box 42" hidden="1">
                <a:extLst>
                  <a:ext uri="{63B3BB69-23CF-44E3-9099-C40C66FF867C}">
                    <a14:compatExt spid="_x0000_s13354"/>
                  </a:ext>
                  <a:ext uri="{FF2B5EF4-FFF2-40B4-BE49-F238E27FC236}">
                    <a16:creationId xmlns:a16="http://schemas.microsoft.com/office/drawing/2014/main" id="{00000000-0008-0000-1F00-00002A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13355" name="Check Box 43" hidden="1">
                <a:extLst>
                  <a:ext uri="{63B3BB69-23CF-44E3-9099-C40C66FF867C}">
                    <a14:compatExt spid="_x0000_s13355"/>
                  </a:ext>
                  <a:ext uri="{FF2B5EF4-FFF2-40B4-BE49-F238E27FC236}">
                    <a16:creationId xmlns:a16="http://schemas.microsoft.com/office/drawing/2014/main" id="{00000000-0008-0000-1F00-00002B800000}"/>
                  </a:ext>
                </a:extLst>
              </xdr:cNvPr>
              <xdr:cNvSpPr/>
            </xdr:nvSpPr>
            <xdr:spPr bwMode="auto">
              <a:xfrm>
                <a:off x="903513" y="5932885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9C5E8AFD-D314-4565-A866-A41EE8694E4E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550" y="4570343"/>
              <a:ext cx="800100" cy="1803124"/>
              <a:chOff x="1676400" y="4286246"/>
              <a:chExt cx="800100" cy="1514493"/>
            </a:xfrm>
          </xdr:grpSpPr>
          <xdr:sp macro="" textlink="">
            <xdr:nvSpPr>
              <xdr:cNvPr id="13356" name="Check Box 44" hidden="1">
                <a:extLst>
                  <a:ext uri="{63B3BB69-23CF-44E3-9099-C40C66FF867C}">
                    <a14:compatExt spid="_x0000_s13356"/>
                  </a:ext>
                  <a:ext uri="{FF2B5EF4-FFF2-40B4-BE49-F238E27FC236}">
                    <a16:creationId xmlns:a16="http://schemas.microsoft.com/office/drawing/2014/main" id="{00000000-0008-0000-1F00-00002C80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13357" name="Check Box 45" hidden="1">
                <a:extLst>
                  <a:ext uri="{63B3BB69-23CF-44E3-9099-C40C66FF867C}">
                    <a14:compatExt spid="_x0000_s13357"/>
                  </a:ext>
                  <a:ext uri="{FF2B5EF4-FFF2-40B4-BE49-F238E27FC236}">
                    <a16:creationId xmlns:a16="http://schemas.microsoft.com/office/drawing/2014/main" id="{00000000-0008-0000-1F00-00002D80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13358" name="Check Box 46" descr="추락" hidden="1">
                <a:extLst>
                  <a:ext uri="{63B3BB69-23CF-44E3-9099-C40C66FF867C}">
                    <a14:compatExt spid="_x0000_s13358"/>
                  </a:ext>
                  <a:ext uri="{FF2B5EF4-FFF2-40B4-BE49-F238E27FC236}">
                    <a16:creationId xmlns:a16="http://schemas.microsoft.com/office/drawing/2014/main" id="{00000000-0008-0000-1F00-00002E800000}"/>
                  </a:ext>
                </a:extLst>
              </xdr:cNvPr>
              <xdr:cNvSpPr/>
            </xdr:nvSpPr>
            <xdr:spPr bwMode="auto">
              <a:xfrm>
                <a:off x="1676400" y="4286246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13359" name="Check Box 47" hidden="1">
                <a:extLst>
                  <a:ext uri="{63B3BB69-23CF-44E3-9099-C40C66FF867C}">
                    <a14:compatExt spid="_x0000_s13359"/>
                  </a:ext>
                  <a:ext uri="{FF2B5EF4-FFF2-40B4-BE49-F238E27FC236}">
                    <a16:creationId xmlns:a16="http://schemas.microsoft.com/office/drawing/2014/main" id="{00000000-0008-0000-1F00-00002F80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13360" name="Check Box 48" hidden="1">
                <a:extLst>
                  <a:ext uri="{63B3BB69-23CF-44E3-9099-C40C66FF867C}">
                    <a14:compatExt spid="_x0000_s13360"/>
                  </a:ext>
                  <a:ext uri="{FF2B5EF4-FFF2-40B4-BE49-F238E27FC236}">
                    <a16:creationId xmlns:a16="http://schemas.microsoft.com/office/drawing/2014/main" id="{00000000-0008-0000-1F00-00003080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13361" name="Check Box 49" hidden="1">
                <a:extLst>
                  <a:ext uri="{63B3BB69-23CF-44E3-9099-C40C66FF867C}">
                    <a14:compatExt spid="_x0000_s13361"/>
                  </a:ext>
                  <a:ext uri="{FF2B5EF4-FFF2-40B4-BE49-F238E27FC236}">
                    <a16:creationId xmlns:a16="http://schemas.microsoft.com/office/drawing/2014/main" id="{00000000-0008-0000-1F00-00003180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13362" name="Check Box 50" hidden="1">
                <a:extLst>
                  <a:ext uri="{63B3BB69-23CF-44E3-9099-C40C66FF867C}">
                    <a14:compatExt spid="_x0000_s13362"/>
                  </a:ext>
                  <a:ext uri="{FF2B5EF4-FFF2-40B4-BE49-F238E27FC236}">
                    <a16:creationId xmlns:a16="http://schemas.microsoft.com/office/drawing/2014/main" id="{00000000-0008-0000-1F00-00003280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13363" name="Check Box 51" hidden="1">
                <a:extLst>
                  <a:ext uri="{63B3BB69-23CF-44E3-9099-C40C66FF867C}">
                    <a14:compatExt spid="_x0000_s13363"/>
                  </a:ext>
                  <a:ext uri="{FF2B5EF4-FFF2-40B4-BE49-F238E27FC236}">
                    <a16:creationId xmlns:a16="http://schemas.microsoft.com/office/drawing/2014/main" id="{00000000-0008-0000-1F00-00003380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13364" name="Check Box 52" hidden="1">
                <a:extLst>
                  <a:ext uri="{63B3BB69-23CF-44E3-9099-C40C66FF867C}">
                    <a14:compatExt spid="_x0000_s13364"/>
                  </a:ext>
                  <a:ext uri="{FF2B5EF4-FFF2-40B4-BE49-F238E27FC236}">
                    <a16:creationId xmlns:a16="http://schemas.microsoft.com/office/drawing/2014/main" id="{00000000-0008-0000-1F00-000034800000}"/>
                  </a:ext>
                </a:extLst>
              </xdr:cNvPr>
              <xdr:cNvSpPr/>
            </xdr:nvSpPr>
            <xdr:spPr bwMode="auto">
              <a:xfrm>
                <a:off x="1676400" y="5694897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6FD3FC7F-C548-4B02-901B-3423DD5DA472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19635506-AE77-4DC6-B619-A2CF4A247613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8002CD2B-3F5A-4C71-B758-17A43F6DB7BC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DF940C28-8B69-4E19-B066-91F7DF7532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7752728B-827C-4E22-A231-77FB571D9A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BD4F2CAE-B078-484F-9FF5-69974C95F0F8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4FFFC7D4-48E5-4964-9BDA-96D9480D5EB0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8A200179-7C05-41B8-A70E-2473D579D6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46D83DDD-5E73-4C91-B29E-8E150A98CA6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3928" y="5463702"/>
              <a:ext cx="1086255" cy="1480226"/>
              <a:chOff x="1883093" y="4572945"/>
              <a:chExt cx="969630" cy="1683077"/>
            </a:xfrm>
          </xdr:grpSpPr>
          <xdr:sp macro="" textlink="">
            <xdr:nvSpPr>
              <xdr:cNvPr id="12289" name="Check Box 1" hidden="1">
                <a:extLst>
                  <a:ext uri="{63B3BB69-23CF-44E3-9099-C40C66FF867C}">
                    <a14:compatExt spid="_x0000_s12289"/>
                  </a:ext>
                  <a:ext uri="{FF2B5EF4-FFF2-40B4-BE49-F238E27FC236}">
                    <a16:creationId xmlns:a16="http://schemas.microsoft.com/office/drawing/2014/main" id="{00000000-0008-0000-1F00-00000180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12290" name="Check Box 2" hidden="1">
                <a:extLst>
                  <a:ext uri="{63B3BB69-23CF-44E3-9099-C40C66FF867C}">
                    <a14:compatExt spid="_x0000_s12290"/>
                  </a:ext>
                  <a:ext uri="{FF2B5EF4-FFF2-40B4-BE49-F238E27FC236}">
                    <a16:creationId xmlns:a16="http://schemas.microsoft.com/office/drawing/2014/main" id="{00000000-0008-0000-1F00-00000280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12291" name="Check Box 3" hidden="1">
                <a:extLst>
                  <a:ext uri="{63B3BB69-23CF-44E3-9099-C40C66FF867C}">
                    <a14:compatExt spid="_x0000_s12291"/>
                  </a:ext>
                  <a:ext uri="{FF2B5EF4-FFF2-40B4-BE49-F238E27FC236}">
                    <a16:creationId xmlns:a16="http://schemas.microsoft.com/office/drawing/2014/main" id="{00000000-0008-0000-1F00-000003800000}"/>
                  </a:ext>
                </a:extLst>
              </xdr:cNvPr>
              <xdr:cNvSpPr/>
            </xdr:nvSpPr>
            <xdr:spPr bwMode="auto">
              <a:xfrm>
                <a:off x="1883093" y="516849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12292" name="Check Box 4" hidden="1">
                <a:extLst>
                  <a:ext uri="{63B3BB69-23CF-44E3-9099-C40C66FF867C}">
                    <a14:compatExt spid="_x0000_s12292"/>
                  </a:ext>
                  <a:ext uri="{FF2B5EF4-FFF2-40B4-BE49-F238E27FC236}">
                    <a16:creationId xmlns:a16="http://schemas.microsoft.com/office/drawing/2014/main" id="{00000000-0008-0000-1F00-00000480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12293" name="Check Box 5" hidden="1">
                <a:extLst>
                  <a:ext uri="{63B3BB69-23CF-44E3-9099-C40C66FF867C}">
                    <a14:compatExt spid="_x0000_s12293"/>
                  </a:ext>
                  <a:ext uri="{FF2B5EF4-FFF2-40B4-BE49-F238E27FC236}">
                    <a16:creationId xmlns:a16="http://schemas.microsoft.com/office/drawing/2014/main" id="{00000000-0008-0000-1F00-00000580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12294" name="Check Box 6" hidden="1">
                <a:extLst>
                  <a:ext uri="{63B3BB69-23CF-44E3-9099-C40C66FF867C}">
                    <a14:compatExt spid="_x0000_s12294"/>
                  </a:ext>
                  <a:ext uri="{FF2B5EF4-FFF2-40B4-BE49-F238E27FC236}">
                    <a16:creationId xmlns:a16="http://schemas.microsoft.com/office/drawing/2014/main" id="{00000000-0008-0000-1F00-000006800000}"/>
                  </a:ext>
                </a:extLst>
              </xdr:cNvPr>
              <xdr:cNvSpPr/>
            </xdr:nvSpPr>
            <xdr:spPr bwMode="auto">
              <a:xfrm>
                <a:off x="1883093" y="576404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12295" name="Check Box 7" hidden="1">
                <a:extLst>
                  <a:ext uri="{63B3BB69-23CF-44E3-9099-C40C66FF867C}">
                    <a14:compatExt spid="_x0000_s12295"/>
                  </a:ext>
                  <a:ext uri="{FF2B5EF4-FFF2-40B4-BE49-F238E27FC236}">
                    <a16:creationId xmlns:a16="http://schemas.microsoft.com/office/drawing/2014/main" id="{00000000-0008-0000-1F00-00000780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12296" name="Check Box 8" hidden="1">
                <a:extLst>
                  <a:ext uri="{63B3BB69-23CF-44E3-9099-C40C66FF867C}">
                    <a14:compatExt spid="_x0000_s12296"/>
                  </a:ext>
                  <a:ext uri="{FF2B5EF4-FFF2-40B4-BE49-F238E27FC236}">
                    <a16:creationId xmlns:a16="http://schemas.microsoft.com/office/drawing/2014/main" id="{00000000-0008-0000-1F00-000008800000}"/>
                  </a:ext>
                </a:extLst>
              </xdr:cNvPr>
              <xdr:cNvSpPr/>
            </xdr:nvSpPr>
            <xdr:spPr bwMode="auto">
              <a:xfrm>
                <a:off x="1883093" y="5962563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AFF5CDC1-40E2-4194-BE28-25A7E53F719E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6839" y="5755532"/>
              <a:ext cx="1750978" cy="462063"/>
              <a:chOff x="3535676" y="4572045"/>
              <a:chExt cx="1554480" cy="449553"/>
            </a:xfrm>
          </xdr:grpSpPr>
          <xdr:sp macro="" textlink="">
            <xdr:nvSpPr>
              <xdr:cNvPr id="12297" name="Check Box 9" hidden="1">
                <a:extLst>
                  <a:ext uri="{63B3BB69-23CF-44E3-9099-C40C66FF867C}">
                    <a14:compatExt spid="_x0000_s12297"/>
                  </a:ext>
                  <a:ext uri="{FF2B5EF4-FFF2-40B4-BE49-F238E27FC236}">
                    <a16:creationId xmlns:a16="http://schemas.microsoft.com/office/drawing/2014/main" id="{00000000-0008-0000-1F00-000009800000}"/>
                  </a:ext>
                </a:extLst>
              </xdr:cNvPr>
              <xdr:cNvSpPr/>
            </xdr:nvSpPr>
            <xdr:spPr bwMode="auto">
              <a:xfrm>
                <a:off x="3535680" y="4572045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12298" name="Check Box 10" hidden="1">
                <a:extLst>
                  <a:ext uri="{63B3BB69-23CF-44E3-9099-C40C66FF867C}">
                    <a14:compatExt spid="_x0000_s12298"/>
                  </a:ext>
                  <a:ext uri="{FF2B5EF4-FFF2-40B4-BE49-F238E27FC236}">
                    <a16:creationId xmlns:a16="http://schemas.microsoft.com/office/drawing/2014/main" id="{00000000-0008-0000-1F00-00000A800000}"/>
                  </a:ext>
                </a:extLst>
              </xdr:cNvPr>
              <xdr:cNvSpPr/>
            </xdr:nvSpPr>
            <xdr:spPr bwMode="auto">
              <a:xfrm>
                <a:off x="3535676" y="4747278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B036AC84-CB21-482A-AA05-51EC592D192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39127" y="5945221"/>
              <a:ext cx="781456" cy="726332"/>
              <a:chOff x="5394960" y="4838701"/>
              <a:chExt cx="568701" cy="722503"/>
            </a:xfrm>
          </xdr:grpSpPr>
          <xdr:sp macro="" textlink="">
            <xdr:nvSpPr>
              <xdr:cNvPr id="12299" name="Check Box 11" hidden="1">
                <a:extLst>
                  <a:ext uri="{63B3BB69-23CF-44E3-9099-C40C66FF867C}">
                    <a14:compatExt spid="_x0000_s12299"/>
                  </a:ext>
                  <a:ext uri="{FF2B5EF4-FFF2-40B4-BE49-F238E27FC236}">
                    <a16:creationId xmlns:a16="http://schemas.microsoft.com/office/drawing/2014/main" id="{00000000-0008-0000-1F00-00000B800000}"/>
                  </a:ext>
                </a:extLst>
              </xdr:cNvPr>
              <xdr:cNvSpPr/>
            </xdr:nvSpPr>
            <xdr:spPr bwMode="auto">
              <a:xfrm>
                <a:off x="5394960" y="4838701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12300" name="Check Box 12" hidden="1">
                <a:extLst>
                  <a:ext uri="{63B3BB69-23CF-44E3-9099-C40C66FF867C}">
                    <a14:compatExt spid="_x0000_s12300"/>
                  </a:ext>
                  <a:ext uri="{FF2B5EF4-FFF2-40B4-BE49-F238E27FC236}">
                    <a16:creationId xmlns:a16="http://schemas.microsoft.com/office/drawing/2014/main" id="{00000000-0008-0000-1F00-00000C80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12301" name="Check Box 13" hidden="1">
                <a:extLst>
                  <a:ext uri="{63B3BB69-23CF-44E3-9099-C40C66FF867C}">
                    <a14:compatExt spid="_x0000_s12301"/>
                  </a:ext>
                  <a:ext uri="{FF2B5EF4-FFF2-40B4-BE49-F238E27FC236}">
                    <a16:creationId xmlns:a16="http://schemas.microsoft.com/office/drawing/2014/main" id="{00000000-0008-0000-1F00-00000D80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12302" name="Check Box 14" hidden="1">
                <a:extLst>
                  <a:ext uri="{63B3BB69-23CF-44E3-9099-C40C66FF867C}">
                    <a14:compatExt spid="_x0000_s12302"/>
                  </a:ext>
                  <a:ext uri="{FF2B5EF4-FFF2-40B4-BE49-F238E27FC236}">
                    <a16:creationId xmlns:a16="http://schemas.microsoft.com/office/drawing/2014/main" id="{00000000-0008-0000-1F00-00000E800000}"/>
                  </a:ext>
                </a:extLst>
              </xdr:cNvPr>
              <xdr:cNvSpPr/>
            </xdr:nvSpPr>
            <xdr:spPr bwMode="auto">
              <a:xfrm>
                <a:off x="5394960" y="5417808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A8176A4C-AC63-4A42-870F-4DA1298B169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09745" y="3691647"/>
              <a:ext cx="1467255" cy="1522379"/>
              <a:chOff x="903513" y="4495527"/>
              <a:chExt cx="1122959" cy="1545361"/>
            </a:xfrm>
          </xdr:grpSpPr>
          <xdr:sp macro="" textlink="">
            <xdr:nvSpPr>
              <xdr:cNvPr id="12303" name="Check Box 15" hidden="1">
                <a:extLst>
                  <a:ext uri="{63B3BB69-23CF-44E3-9099-C40C66FF867C}">
                    <a14:compatExt spid="_x0000_s12303"/>
                  </a:ext>
                  <a:ext uri="{FF2B5EF4-FFF2-40B4-BE49-F238E27FC236}">
                    <a16:creationId xmlns:a16="http://schemas.microsoft.com/office/drawing/2014/main" id="{00000000-0008-0000-1F00-00000F80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12304" name="Check Box 16" hidden="1">
                <a:extLst>
                  <a:ext uri="{63B3BB69-23CF-44E3-9099-C40C66FF867C}">
                    <a14:compatExt spid="_x0000_s12304"/>
                  </a:ext>
                  <a:ext uri="{FF2B5EF4-FFF2-40B4-BE49-F238E27FC236}">
                    <a16:creationId xmlns:a16="http://schemas.microsoft.com/office/drawing/2014/main" id="{00000000-0008-0000-1F00-00001080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12305" name="Check Box 17" hidden="1">
                <a:extLst>
                  <a:ext uri="{63B3BB69-23CF-44E3-9099-C40C66FF867C}">
                    <a14:compatExt spid="_x0000_s12305"/>
                  </a:ext>
                  <a:ext uri="{FF2B5EF4-FFF2-40B4-BE49-F238E27FC236}">
                    <a16:creationId xmlns:a16="http://schemas.microsoft.com/office/drawing/2014/main" id="{00000000-0008-0000-1F00-000011800000}"/>
                  </a:ext>
                </a:extLst>
              </xdr:cNvPr>
              <xdr:cNvSpPr/>
            </xdr:nvSpPr>
            <xdr:spPr bwMode="auto">
              <a:xfrm>
                <a:off x="903513" y="4495527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12306" name="Check Box 18" hidden="1">
                <a:extLst>
                  <a:ext uri="{63B3BB69-23CF-44E3-9099-C40C66FF867C}">
                    <a14:compatExt spid="_x0000_s12306"/>
                  </a:ext>
                  <a:ext uri="{FF2B5EF4-FFF2-40B4-BE49-F238E27FC236}">
                    <a16:creationId xmlns:a16="http://schemas.microsoft.com/office/drawing/2014/main" id="{00000000-0008-0000-1F00-0000128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12307" name="Check Box 19" hidden="1">
                <a:extLst>
                  <a:ext uri="{63B3BB69-23CF-44E3-9099-C40C66FF867C}">
                    <a14:compatExt spid="_x0000_s12307"/>
                  </a:ext>
                  <a:ext uri="{FF2B5EF4-FFF2-40B4-BE49-F238E27FC236}">
                    <a16:creationId xmlns:a16="http://schemas.microsoft.com/office/drawing/2014/main" id="{00000000-0008-0000-1F00-00001380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12308" name="Check Box 20" hidden="1">
                <a:extLst>
                  <a:ext uri="{63B3BB69-23CF-44E3-9099-C40C66FF867C}">
                    <a14:compatExt spid="_x0000_s12308"/>
                  </a:ext>
                  <a:ext uri="{FF2B5EF4-FFF2-40B4-BE49-F238E27FC236}">
                    <a16:creationId xmlns:a16="http://schemas.microsoft.com/office/drawing/2014/main" id="{00000000-0008-0000-1F00-000014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12309" name="Check Box 21" hidden="1">
                <a:extLst>
                  <a:ext uri="{63B3BB69-23CF-44E3-9099-C40C66FF867C}">
                    <a14:compatExt spid="_x0000_s12309"/>
                  </a:ext>
                  <a:ext uri="{FF2B5EF4-FFF2-40B4-BE49-F238E27FC236}">
                    <a16:creationId xmlns:a16="http://schemas.microsoft.com/office/drawing/2014/main" id="{00000000-0008-0000-1F00-00001580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12310" name="Check Box 22" hidden="1">
                <a:extLst>
                  <a:ext uri="{63B3BB69-23CF-44E3-9099-C40C66FF867C}">
                    <a14:compatExt spid="_x0000_s12310"/>
                  </a:ext>
                  <a:ext uri="{FF2B5EF4-FFF2-40B4-BE49-F238E27FC236}">
                    <a16:creationId xmlns:a16="http://schemas.microsoft.com/office/drawing/2014/main" id="{00000000-0008-0000-1F00-000016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12311" name="Check Box 23" hidden="1">
                <a:extLst>
                  <a:ext uri="{63B3BB69-23CF-44E3-9099-C40C66FF867C}">
                    <a14:compatExt spid="_x0000_s12311"/>
                  </a:ext>
                  <a:ext uri="{FF2B5EF4-FFF2-40B4-BE49-F238E27FC236}">
                    <a16:creationId xmlns:a16="http://schemas.microsoft.com/office/drawing/2014/main" id="{00000000-0008-0000-1F00-000017800000}"/>
                  </a:ext>
                </a:extLst>
              </xdr:cNvPr>
              <xdr:cNvSpPr/>
            </xdr:nvSpPr>
            <xdr:spPr bwMode="auto">
              <a:xfrm>
                <a:off x="903513" y="5855054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B978F950-0759-4971-AEBB-88850F7F76C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6839" y="6313251"/>
              <a:ext cx="1750978" cy="376136"/>
              <a:chOff x="3535676" y="4533511"/>
              <a:chExt cx="1554480" cy="513814"/>
            </a:xfrm>
          </xdr:grpSpPr>
          <xdr:sp macro="" textlink="">
            <xdr:nvSpPr>
              <xdr:cNvPr id="12312" name="Check Box 24" hidden="1">
                <a:extLst>
                  <a:ext uri="{63B3BB69-23CF-44E3-9099-C40C66FF867C}">
                    <a14:compatExt spid="_x0000_s12312"/>
                  </a:ext>
                  <a:ext uri="{FF2B5EF4-FFF2-40B4-BE49-F238E27FC236}">
                    <a16:creationId xmlns:a16="http://schemas.microsoft.com/office/drawing/2014/main" id="{00000000-0008-0000-1F00-000018800000}"/>
                  </a:ext>
                </a:extLst>
              </xdr:cNvPr>
              <xdr:cNvSpPr/>
            </xdr:nvSpPr>
            <xdr:spPr bwMode="auto">
              <a:xfrm>
                <a:off x="3535680" y="4533511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12313" name="Check Box 25" hidden="1">
                <a:extLst>
                  <a:ext uri="{63B3BB69-23CF-44E3-9099-C40C66FF867C}">
                    <a14:compatExt spid="_x0000_s12313"/>
                  </a:ext>
                  <a:ext uri="{FF2B5EF4-FFF2-40B4-BE49-F238E27FC236}">
                    <a16:creationId xmlns:a16="http://schemas.microsoft.com/office/drawing/2014/main" id="{00000000-0008-0000-1F00-000019800000}"/>
                  </a:ext>
                </a:extLst>
              </xdr:cNvPr>
              <xdr:cNvSpPr/>
            </xdr:nvSpPr>
            <xdr:spPr bwMode="auto">
              <a:xfrm>
                <a:off x="3535676" y="4773005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A4991B6F-4423-45CB-A3D8-4009DBF5A6C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3928" y="3691647"/>
              <a:ext cx="1342417" cy="1512651"/>
              <a:chOff x="903513" y="4495534"/>
              <a:chExt cx="1122959" cy="1535575"/>
            </a:xfrm>
          </xdr:grpSpPr>
          <xdr:sp macro="" textlink="">
            <xdr:nvSpPr>
              <xdr:cNvPr id="12314" name="Check Box 26" hidden="1">
                <a:extLst>
                  <a:ext uri="{63B3BB69-23CF-44E3-9099-C40C66FF867C}">
                    <a14:compatExt spid="_x0000_s12314"/>
                  </a:ext>
                  <a:ext uri="{FF2B5EF4-FFF2-40B4-BE49-F238E27FC236}">
                    <a16:creationId xmlns:a16="http://schemas.microsoft.com/office/drawing/2014/main" id="{00000000-0008-0000-1F00-00001A80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12315" name="Check Box 27" hidden="1">
                <a:extLst>
                  <a:ext uri="{63B3BB69-23CF-44E3-9099-C40C66FF867C}">
                    <a14:compatExt spid="_x0000_s12315"/>
                  </a:ext>
                  <a:ext uri="{FF2B5EF4-FFF2-40B4-BE49-F238E27FC236}">
                    <a16:creationId xmlns:a16="http://schemas.microsoft.com/office/drawing/2014/main" id="{00000000-0008-0000-1F00-00001B80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12316" name="Check Box 28" hidden="1">
                <a:extLst>
                  <a:ext uri="{63B3BB69-23CF-44E3-9099-C40C66FF867C}">
                    <a14:compatExt spid="_x0000_s12316"/>
                  </a:ext>
                  <a:ext uri="{FF2B5EF4-FFF2-40B4-BE49-F238E27FC236}">
                    <a16:creationId xmlns:a16="http://schemas.microsoft.com/office/drawing/2014/main" id="{00000000-0008-0000-1F00-00001C800000}"/>
                  </a:ext>
                </a:extLst>
              </xdr:cNvPr>
              <xdr:cNvSpPr/>
            </xdr:nvSpPr>
            <xdr:spPr bwMode="auto">
              <a:xfrm>
                <a:off x="903513" y="4495534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12317" name="Check Box 29" hidden="1">
                <a:extLst>
                  <a:ext uri="{63B3BB69-23CF-44E3-9099-C40C66FF867C}">
                    <a14:compatExt spid="_x0000_s12317"/>
                  </a:ext>
                  <a:ext uri="{FF2B5EF4-FFF2-40B4-BE49-F238E27FC236}">
                    <a16:creationId xmlns:a16="http://schemas.microsoft.com/office/drawing/2014/main" id="{00000000-0008-0000-1F00-00001D80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12318" name="Check Box 30" hidden="1">
                <a:extLst>
                  <a:ext uri="{63B3BB69-23CF-44E3-9099-C40C66FF867C}">
                    <a14:compatExt spid="_x0000_s12318"/>
                  </a:ext>
                  <a:ext uri="{FF2B5EF4-FFF2-40B4-BE49-F238E27FC236}">
                    <a16:creationId xmlns:a16="http://schemas.microsoft.com/office/drawing/2014/main" id="{00000000-0008-0000-1F00-00001E8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12319" name="Check Box 31" hidden="1">
                <a:extLst>
                  <a:ext uri="{63B3BB69-23CF-44E3-9099-C40C66FF867C}">
                    <a14:compatExt spid="_x0000_s12319"/>
                  </a:ext>
                  <a:ext uri="{FF2B5EF4-FFF2-40B4-BE49-F238E27FC236}">
                    <a16:creationId xmlns:a16="http://schemas.microsoft.com/office/drawing/2014/main" id="{00000000-0008-0000-1F00-00001F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12320" name="Check Box 32" hidden="1">
                <a:extLst>
                  <a:ext uri="{63B3BB69-23CF-44E3-9099-C40C66FF867C}">
                    <a14:compatExt spid="_x0000_s12320"/>
                  </a:ext>
                  <a:ext uri="{FF2B5EF4-FFF2-40B4-BE49-F238E27FC236}">
                    <a16:creationId xmlns:a16="http://schemas.microsoft.com/office/drawing/2014/main" id="{00000000-0008-0000-1F00-00002080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12321" name="Check Box 33" hidden="1">
                <a:extLst>
                  <a:ext uri="{63B3BB69-23CF-44E3-9099-C40C66FF867C}">
                    <a14:compatExt spid="_x0000_s12321"/>
                  </a:ext>
                  <a:ext uri="{FF2B5EF4-FFF2-40B4-BE49-F238E27FC236}">
                    <a16:creationId xmlns:a16="http://schemas.microsoft.com/office/drawing/2014/main" id="{00000000-0008-0000-1F00-000021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12322" name="Check Box 34" hidden="1">
                <a:extLst>
                  <a:ext uri="{63B3BB69-23CF-44E3-9099-C40C66FF867C}">
                    <a14:compatExt spid="_x0000_s12322"/>
                  </a:ext>
                  <a:ext uri="{FF2B5EF4-FFF2-40B4-BE49-F238E27FC236}">
                    <a16:creationId xmlns:a16="http://schemas.microsoft.com/office/drawing/2014/main" id="{00000000-0008-0000-1F00-000022800000}"/>
                  </a:ext>
                </a:extLst>
              </xdr:cNvPr>
              <xdr:cNvSpPr/>
            </xdr:nvSpPr>
            <xdr:spPr bwMode="auto">
              <a:xfrm>
                <a:off x="903513" y="5903547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09081A85-DC88-477B-8BA8-D6386C4E819F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BE5D2589-B89F-4E3E-84EB-CD1D18FE0B7C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161227F4-6AD2-471D-B554-70B481112B91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2747C8A8-6B2A-45AD-ACAC-B8396B8A17B2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FD87C2F4-1444-4323-B817-79E1A9367FD0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86D43DFE-44BE-4382-B19C-AA347C1B46AB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FCDD72B9-8504-498A-87E2-440B4AB27761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725B6D42-E464-4521-8C78-A745C757C962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818B43FD-B6D3-488F-9B9A-6506BE1C63AB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8A0937B4-8458-49FC-968C-5D32F9D2452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4817" y="4568757"/>
              <a:ext cx="1078149" cy="1819073"/>
              <a:chOff x="903513" y="4495523"/>
              <a:chExt cx="1122959" cy="1545362"/>
            </a:xfrm>
          </xdr:grpSpPr>
          <xdr:sp macro="" textlink="">
            <xdr:nvSpPr>
              <xdr:cNvPr id="12323" name="Check Box 35" hidden="1">
                <a:extLst>
                  <a:ext uri="{63B3BB69-23CF-44E3-9099-C40C66FF867C}">
                    <a14:compatExt spid="_x0000_s12323"/>
                  </a:ext>
                  <a:ext uri="{FF2B5EF4-FFF2-40B4-BE49-F238E27FC236}">
                    <a16:creationId xmlns:a16="http://schemas.microsoft.com/office/drawing/2014/main" id="{00000000-0008-0000-1F00-00002380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12324" name="Check Box 36" hidden="1">
                <a:extLst>
                  <a:ext uri="{63B3BB69-23CF-44E3-9099-C40C66FF867C}">
                    <a14:compatExt spid="_x0000_s12324"/>
                  </a:ext>
                  <a:ext uri="{FF2B5EF4-FFF2-40B4-BE49-F238E27FC236}">
                    <a16:creationId xmlns:a16="http://schemas.microsoft.com/office/drawing/2014/main" id="{00000000-0008-0000-1F00-00002480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12325" name="Check Box 37" hidden="1">
                <a:extLst>
                  <a:ext uri="{63B3BB69-23CF-44E3-9099-C40C66FF867C}">
                    <a14:compatExt spid="_x0000_s12325"/>
                  </a:ext>
                  <a:ext uri="{FF2B5EF4-FFF2-40B4-BE49-F238E27FC236}">
                    <a16:creationId xmlns:a16="http://schemas.microsoft.com/office/drawing/2014/main" id="{00000000-0008-0000-1F00-000025800000}"/>
                  </a:ext>
                </a:extLst>
              </xdr:cNvPr>
              <xdr:cNvSpPr/>
            </xdr:nvSpPr>
            <xdr:spPr bwMode="auto">
              <a:xfrm>
                <a:off x="903513" y="4495523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12326" name="Check Box 38" hidden="1">
                <a:extLst>
                  <a:ext uri="{63B3BB69-23CF-44E3-9099-C40C66FF867C}">
                    <a14:compatExt spid="_x0000_s12326"/>
                  </a:ext>
                  <a:ext uri="{FF2B5EF4-FFF2-40B4-BE49-F238E27FC236}">
                    <a16:creationId xmlns:a16="http://schemas.microsoft.com/office/drawing/2014/main" id="{00000000-0008-0000-1F00-0000268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12327" name="Check Box 39" hidden="1">
                <a:extLst>
                  <a:ext uri="{63B3BB69-23CF-44E3-9099-C40C66FF867C}">
                    <a14:compatExt spid="_x0000_s12327"/>
                  </a:ext>
                  <a:ext uri="{FF2B5EF4-FFF2-40B4-BE49-F238E27FC236}">
                    <a16:creationId xmlns:a16="http://schemas.microsoft.com/office/drawing/2014/main" id="{00000000-0008-0000-1F00-0000278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12328" name="Check Box 40" hidden="1">
                <a:extLst>
                  <a:ext uri="{63B3BB69-23CF-44E3-9099-C40C66FF867C}">
                    <a14:compatExt spid="_x0000_s12328"/>
                  </a:ext>
                  <a:ext uri="{FF2B5EF4-FFF2-40B4-BE49-F238E27FC236}">
                    <a16:creationId xmlns:a16="http://schemas.microsoft.com/office/drawing/2014/main" id="{00000000-0008-0000-1F00-000028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12329" name="Check Box 41" hidden="1">
                <a:extLst>
                  <a:ext uri="{63B3BB69-23CF-44E3-9099-C40C66FF867C}">
                    <a14:compatExt spid="_x0000_s12329"/>
                  </a:ext>
                  <a:ext uri="{FF2B5EF4-FFF2-40B4-BE49-F238E27FC236}">
                    <a16:creationId xmlns:a16="http://schemas.microsoft.com/office/drawing/2014/main" id="{00000000-0008-0000-1F00-00002980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12330" name="Check Box 42" hidden="1">
                <a:extLst>
                  <a:ext uri="{63B3BB69-23CF-44E3-9099-C40C66FF867C}">
                    <a14:compatExt spid="_x0000_s12330"/>
                  </a:ext>
                  <a:ext uri="{FF2B5EF4-FFF2-40B4-BE49-F238E27FC236}">
                    <a16:creationId xmlns:a16="http://schemas.microsoft.com/office/drawing/2014/main" id="{00000000-0008-0000-1F00-00002A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12331" name="Check Box 43" hidden="1">
                <a:extLst>
                  <a:ext uri="{63B3BB69-23CF-44E3-9099-C40C66FF867C}">
                    <a14:compatExt spid="_x0000_s12331"/>
                  </a:ext>
                  <a:ext uri="{FF2B5EF4-FFF2-40B4-BE49-F238E27FC236}">
                    <a16:creationId xmlns:a16="http://schemas.microsoft.com/office/drawing/2014/main" id="{00000000-0008-0000-1F00-00002B800000}"/>
                  </a:ext>
                </a:extLst>
              </xdr:cNvPr>
              <xdr:cNvSpPr/>
            </xdr:nvSpPr>
            <xdr:spPr bwMode="auto">
              <a:xfrm>
                <a:off x="903513" y="5932885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8B32F40F-8433-4E41-BD5C-176AF675776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145" y="4568757"/>
              <a:ext cx="800910" cy="1819073"/>
              <a:chOff x="1676400" y="4286246"/>
              <a:chExt cx="800100" cy="1514493"/>
            </a:xfrm>
          </xdr:grpSpPr>
          <xdr:sp macro="" textlink="">
            <xdr:nvSpPr>
              <xdr:cNvPr id="12332" name="Check Box 44" hidden="1">
                <a:extLst>
                  <a:ext uri="{63B3BB69-23CF-44E3-9099-C40C66FF867C}">
                    <a14:compatExt spid="_x0000_s12332"/>
                  </a:ext>
                  <a:ext uri="{FF2B5EF4-FFF2-40B4-BE49-F238E27FC236}">
                    <a16:creationId xmlns:a16="http://schemas.microsoft.com/office/drawing/2014/main" id="{00000000-0008-0000-1F00-00002C80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12333" name="Check Box 45" hidden="1">
                <a:extLst>
                  <a:ext uri="{63B3BB69-23CF-44E3-9099-C40C66FF867C}">
                    <a14:compatExt spid="_x0000_s12333"/>
                  </a:ext>
                  <a:ext uri="{FF2B5EF4-FFF2-40B4-BE49-F238E27FC236}">
                    <a16:creationId xmlns:a16="http://schemas.microsoft.com/office/drawing/2014/main" id="{00000000-0008-0000-1F00-00002D80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12334" name="Check Box 46" descr="추락" hidden="1">
                <a:extLst>
                  <a:ext uri="{63B3BB69-23CF-44E3-9099-C40C66FF867C}">
                    <a14:compatExt spid="_x0000_s12334"/>
                  </a:ext>
                  <a:ext uri="{FF2B5EF4-FFF2-40B4-BE49-F238E27FC236}">
                    <a16:creationId xmlns:a16="http://schemas.microsoft.com/office/drawing/2014/main" id="{00000000-0008-0000-1F00-00002E800000}"/>
                  </a:ext>
                </a:extLst>
              </xdr:cNvPr>
              <xdr:cNvSpPr/>
            </xdr:nvSpPr>
            <xdr:spPr bwMode="auto">
              <a:xfrm>
                <a:off x="1676400" y="4286246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12335" name="Check Box 47" hidden="1">
                <a:extLst>
                  <a:ext uri="{63B3BB69-23CF-44E3-9099-C40C66FF867C}">
                    <a14:compatExt spid="_x0000_s12335"/>
                  </a:ext>
                  <a:ext uri="{FF2B5EF4-FFF2-40B4-BE49-F238E27FC236}">
                    <a16:creationId xmlns:a16="http://schemas.microsoft.com/office/drawing/2014/main" id="{00000000-0008-0000-1F00-00002F80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12336" name="Check Box 48" hidden="1">
                <a:extLst>
                  <a:ext uri="{63B3BB69-23CF-44E3-9099-C40C66FF867C}">
                    <a14:compatExt spid="_x0000_s12336"/>
                  </a:ext>
                  <a:ext uri="{FF2B5EF4-FFF2-40B4-BE49-F238E27FC236}">
                    <a16:creationId xmlns:a16="http://schemas.microsoft.com/office/drawing/2014/main" id="{00000000-0008-0000-1F00-00003080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12337" name="Check Box 49" hidden="1">
                <a:extLst>
                  <a:ext uri="{63B3BB69-23CF-44E3-9099-C40C66FF867C}">
                    <a14:compatExt spid="_x0000_s12337"/>
                  </a:ext>
                  <a:ext uri="{FF2B5EF4-FFF2-40B4-BE49-F238E27FC236}">
                    <a16:creationId xmlns:a16="http://schemas.microsoft.com/office/drawing/2014/main" id="{00000000-0008-0000-1F00-00003180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12338" name="Check Box 50" hidden="1">
                <a:extLst>
                  <a:ext uri="{63B3BB69-23CF-44E3-9099-C40C66FF867C}">
                    <a14:compatExt spid="_x0000_s12338"/>
                  </a:ext>
                  <a:ext uri="{FF2B5EF4-FFF2-40B4-BE49-F238E27FC236}">
                    <a16:creationId xmlns:a16="http://schemas.microsoft.com/office/drawing/2014/main" id="{00000000-0008-0000-1F00-00003280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12339" name="Check Box 51" hidden="1">
                <a:extLst>
                  <a:ext uri="{63B3BB69-23CF-44E3-9099-C40C66FF867C}">
                    <a14:compatExt spid="_x0000_s12339"/>
                  </a:ext>
                  <a:ext uri="{FF2B5EF4-FFF2-40B4-BE49-F238E27FC236}">
                    <a16:creationId xmlns:a16="http://schemas.microsoft.com/office/drawing/2014/main" id="{00000000-0008-0000-1F00-00003380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12340" name="Check Box 52" hidden="1">
                <a:extLst>
                  <a:ext uri="{63B3BB69-23CF-44E3-9099-C40C66FF867C}">
                    <a14:compatExt spid="_x0000_s12340"/>
                  </a:ext>
                  <a:ext uri="{FF2B5EF4-FFF2-40B4-BE49-F238E27FC236}">
                    <a16:creationId xmlns:a16="http://schemas.microsoft.com/office/drawing/2014/main" id="{00000000-0008-0000-1F00-000034800000}"/>
                  </a:ext>
                </a:extLst>
              </xdr:cNvPr>
              <xdr:cNvSpPr/>
            </xdr:nvSpPr>
            <xdr:spPr bwMode="auto">
              <a:xfrm>
                <a:off x="1676400" y="5694897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C8C3388A-19BD-4C57-A8A0-AAEC5D478706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5E96F792-B683-4E34-A07F-9FBA2F6E868E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20370CB8-8C79-49A1-A326-79436AEAEF63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9D5EF54C-A4AC-4B02-8CF2-865F7F2832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081EBE78-1CF6-42BF-BCE5-E71A5929C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F6FAF6A5-619C-4A1D-9074-F026B94E62DE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481DC9C9-E727-4278-BE22-7E1D4FD0294B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C2DEF2C1-6A81-4C2B-BC14-BAB926273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ACCF4FC6-2DC8-41B2-A00D-0555397262B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3928" y="5463702"/>
              <a:ext cx="1086255" cy="1480226"/>
              <a:chOff x="1883093" y="4572945"/>
              <a:chExt cx="969630" cy="1683077"/>
            </a:xfrm>
          </xdr:grpSpPr>
          <xdr:sp macro="" textlink="">
            <xdr:nvSpPr>
              <xdr:cNvPr id="11265" name="Check Box 1" hidden="1">
                <a:extLst>
                  <a:ext uri="{63B3BB69-23CF-44E3-9099-C40C66FF867C}">
                    <a14:compatExt spid="_x0000_s11265"/>
                  </a:ext>
                  <a:ext uri="{FF2B5EF4-FFF2-40B4-BE49-F238E27FC236}">
                    <a16:creationId xmlns:a16="http://schemas.microsoft.com/office/drawing/2014/main" id="{00000000-0008-0000-1F00-00000180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11266" name="Check Box 2" hidden="1">
                <a:extLst>
                  <a:ext uri="{63B3BB69-23CF-44E3-9099-C40C66FF867C}">
                    <a14:compatExt spid="_x0000_s11266"/>
                  </a:ext>
                  <a:ext uri="{FF2B5EF4-FFF2-40B4-BE49-F238E27FC236}">
                    <a16:creationId xmlns:a16="http://schemas.microsoft.com/office/drawing/2014/main" id="{00000000-0008-0000-1F00-00000280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11267" name="Check Box 3" hidden="1">
                <a:extLst>
                  <a:ext uri="{63B3BB69-23CF-44E3-9099-C40C66FF867C}">
                    <a14:compatExt spid="_x0000_s11267"/>
                  </a:ext>
                  <a:ext uri="{FF2B5EF4-FFF2-40B4-BE49-F238E27FC236}">
                    <a16:creationId xmlns:a16="http://schemas.microsoft.com/office/drawing/2014/main" id="{00000000-0008-0000-1F00-000003800000}"/>
                  </a:ext>
                </a:extLst>
              </xdr:cNvPr>
              <xdr:cNvSpPr/>
            </xdr:nvSpPr>
            <xdr:spPr bwMode="auto">
              <a:xfrm>
                <a:off x="1883093" y="516849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11268" name="Check Box 4" hidden="1">
                <a:extLst>
                  <a:ext uri="{63B3BB69-23CF-44E3-9099-C40C66FF867C}">
                    <a14:compatExt spid="_x0000_s11268"/>
                  </a:ext>
                  <a:ext uri="{FF2B5EF4-FFF2-40B4-BE49-F238E27FC236}">
                    <a16:creationId xmlns:a16="http://schemas.microsoft.com/office/drawing/2014/main" id="{00000000-0008-0000-1F00-00000480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11269" name="Check Box 5" hidden="1">
                <a:extLst>
                  <a:ext uri="{63B3BB69-23CF-44E3-9099-C40C66FF867C}">
                    <a14:compatExt spid="_x0000_s11269"/>
                  </a:ext>
                  <a:ext uri="{FF2B5EF4-FFF2-40B4-BE49-F238E27FC236}">
                    <a16:creationId xmlns:a16="http://schemas.microsoft.com/office/drawing/2014/main" id="{00000000-0008-0000-1F00-00000580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11270" name="Check Box 6" hidden="1">
                <a:extLst>
                  <a:ext uri="{63B3BB69-23CF-44E3-9099-C40C66FF867C}">
                    <a14:compatExt spid="_x0000_s11270"/>
                  </a:ext>
                  <a:ext uri="{FF2B5EF4-FFF2-40B4-BE49-F238E27FC236}">
                    <a16:creationId xmlns:a16="http://schemas.microsoft.com/office/drawing/2014/main" id="{00000000-0008-0000-1F00-000006800000}"/>
                  </a:ext>
                </a:extLst>
              </xdr:cNvPr>
              <xdr:cNvSpPr/>
            </xdr:nvSpPr>
            <xdr:spPr bwMode="auto">
              <a:xfrm>
                <a:off x="1883093" y="576404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11271" name="Check Box 7" hidden="1">
                <a:extLst>
                  <a:ext uri="{63B3BB69-23CF-44E3-9099-C40C66FF867C}">
                    <a14:compatExt spid="_x0000_s11271"/>
                  </a:ext>
                  <a:ext uri="{FF2B5EF4-FFF2-40B4-BE49-F238E27FC236}">
                    <a16:creationId xmlns:a16="http://schemas.microsoft.com/office/drawing/2014/main" id="{00000000-0008-0000-1F00-00000780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11272" name="Check Box 8" hidden="1">
                <a:extLst>
                  <a:ext uri="{63B3BB69-23CF-44E3-9099-C40C66FF867C}">
                    <a14:compatExt spid="_x0000_s11272"/>
                  </a:ext>
                  <a:ext uri="{FF2B5EF4-FFF2-40B4-BE49-F238E27FC236}">
                    <a16:creationId xmlns:a16="http://schemas.microsoft.com/office/drawing/2014/main" id="{00000000-0008-0000-1F00-000008800000}"/>
                  </a:ext>
                </a:extLst>
              </xdr:cNvPr>
              <xdr:cNvSpPr/>
            </xdr:nvSpPr>
            <xdr:spPr bwMode="auto">
              <a:xfrm>
                <a:off x="1883093" y="5962563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6A924743-C2FD-4E9B-A466-F52A28FCAF6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6839" y="5755532"/>
              <a:ext cx="1750978" cy="462063"/>
              <a:chOff x="3535676" y="4572045"/>
              <a:chExt cx="1554480" cy="449553"/>
            </a:xfrm>
          </xdr:grpSpPr>
          <xdr:sp macro="" textlink="">
            <xdr:nvSpPr>
              <xdr:cNvPr id="11273" name="Check Box 9" hidden="1">
                <a:extLst>
                  <a:ext uri="{63B3BB69-23CF-44E3-9099-C40C66FF867C}">
                    <a14:compatExt spid="_x0000_s11273"/>
                  </a:ext>
                  <a:ext uri="{FF2B5EF4-FFF2-40B4-BE49-F238E27FC236}">
                    <a16:creationId xmlns:a16="http://schemas.microsoft.com/office/drawing/2014/main" id="{00000000-0008-0000-1F00-000009800000}"/>
                  </a:ext>
                </a:extLst>
              </xdr:cNvPr>
              <xdr:cNvSpPr/>
            </xdr:nvSpPr>
            <xdr:spPr bwMode="auto">
              <a:xfrm>
                <a:off x="3535680" y="4572045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11274" name="Check Box 10" hidden="1">
                <a:extLst>
                  <a:ext uri="{63B3BB69-23CF-44E3-9099-C40C66FF867C}">
                    <a14:compatExt spid="_x0000_s11274"/>
                  </a:ext>
                  <a:ext uri="{FF2B5EF4-FFF2-40B4-BE49-F238E27FC236}">
                    <a16:creationId xmlns:a16="http://schemas.microsoft.com/office/drawing/2014/main" id="{00000000-0008-0000-1F00-00000A800000}"/>
                  </a:ext>
                </a:extLst>
              </xdr:cNvPr>
              <xdr:cNvSpPr/>
            </xdr:nvSpPr>
            <xdr:spPr bwMode="auto">
              <a:xfrm>
                <a:off x="3535676" y="4747278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AFD41803-334E-4A3D-B73D-D17CF35EF3E8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39127" y="5945221"/>
              <a:ext cx="781456" cy="726332"/>
              <a:chOff x="5394960" y="4838701"/>
              <a:chExt cx="568701" cy="722503"/>
            </a:xfrm>
          </xdr:grpSpPr>
          <xdr:sp macro="" textlink="">
            <xdr:nvSpPr>
              <xdr:cNvPr id="11275" name="Check Box 11" hidden="1">
                <a:extLst>
                  <a:ext uri="{63B3BB69-23CF-44E3-9099-C40C66FF867C}">
                    <a14:compatExt spid="_x0000_s11275"/>
                  </a:ext>
                  <a:ext uri="{FF2B5EF4-FFF2-40B4-BE49-F238E27FC236}">
                    <a16:creationId xmlns:a16="http://schemas.microsoft.com/office/drawing/2014/main" id="{00000000-0008-0000-1F00-00000B800000}"/>
                  </a:ext>
                </a:extLst>
              </xdr:cNvPr>
              <xdr:cNvSpPr/>
            </xdr:nvSpPr>
            <xdr:spPr bwMode="auto">
              <a:xfrm>
                <a:off x="5394960" y="4838701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11276" name="Check Box 12" hidden="1">
                <a:extLst>
                  <a:ext uri="{63B3BB69-23CF-44E3-9099-C40C66FF867C}">
                    <a14:compatExt spid="_x0000_s11276"/>
                  </a:ext>
                  <a:ext uri="{FF2B5EF4-FFF2-40B4-BE49-F238E27FC236}">
                    <a16:creationId xmlns:a16="http://schemas.microsoft.com/office/drawing/2014/main" id="{00000000-0008-0000-1F00-00000C80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11277" name="Check Box 13" hidden="1">
                <a:extLst>
                  <a:ext uri="{63B3BB69-23CF-44E3-9099-C40C66FF867C}">
                    <a14:compatExt spid="_x0000_s11277"/>
                  </a:ext>
                  <a:ext uri="{FF2B5EF4-FFF2-40B4-BE49-F238E27FC236}">
                    <a16:creationId xmlns:a16="http://schemas.microsoft.com/office/drawing/2014/main" id="{00000000-0008-0000-1F00-00000D80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11278" name="Check Box 14" hidden="1">
                <a:extLst>
                  <a:ext uri="{63B3BB69-23CF-44E3-9099-C40C66FF867C}">
                    <a14:compatExt spid="_x0000_s11278"/>
                  </a:ext>
                  <a:ext uri="{FF2B5EF4-FFF2-40B4-BE49-F238E27FC236}">
                    <a16:creationId xmlns:a16="http://schemas.microsoft.com/office/drawing/2014/main" id="{00000000-0008-0000-1F00-00000E800000}"/>
                  </a:ext>
                </a:extLst>
              </xdr:cNvPr>
              <xdr:cNvSpPr/>
            </xdr:nvSpPr>
            <xdr:spPr bwMode="auto">
              <a:xfrm>
                <a:off x="5394960" y="5417808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83DC6B84-477E-4BA4-9F63-E42D5D3E4147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09745" y="3691647"/>
              <a:ext cx="1467255" cy="1522379"/>
              <a:chOff x="903513" y="4495527"/>
              <a:chExt cx="1122959" cy="1545361"/>
            </a:xfrm>
          </xdr:grpSpPr>
          <xdr:sp macro="" textlink="">
            <xdr:nvSpPr>
              <xdr:cNvPr id="11279" name="Check Box 15" hidden="1">
                <a:extLst>
                  <a:ext uri="{63B3BB69-23CF-44E3-9099-C40C66FF867C}">
                    <a14:compatExt spid="_x0000_s11279"/>
                  </a:ext>
                  <a:ext uri="{FF2B5EF4-FFF2-40B4-BE49-F238E27FC236}">
                    <a16:creationId xmlns:a16="http://schemas.microsoft.com/office/drawing/2014/main" id="{00000000-0008-0000-1F00-00000F80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11280" name="Check Box 16" hidden="1">
                <a:extLst>
                  <a:ext uri="{63B3BB69-23CF-44E3-9099-C40C66FF867C}">
                    <a14:compatExt spid="_x0000_s11280"/>
                  </a:ext>
                  <a:ext uri="{FF2B5EF4-FFF2-40B4-BE49-F238E27FC236}">
                    <a16:creationId xmlns:a16="http://schemas.microsoft.com/office/drawing/2014/main" id="{00000000-0008-0000-1F00-00001080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11281" name="Check Box 17" hidden="1">
                <a:extLst>
                  <a:ext uri="{63B3BB69-23CF-44E3-9099-C40C66FF867C}">
                    <a14:compatExt spid="_x0000_s11281"/>
                  </a:ext>
                  <a:ext uri="{FF2B5EF4-FFF2-40B4-BE49-F238E27FC236}">
                    <a16:creationId xmlns:a16="http://schemas.microsoft.com/office/drawing/2014/main" id="{00000000-0008-0000-1F00-000011800000}"/>
                  </a:ext>
                </a:extLst>
              </xdr:cNvPr>
              <xdr:cNvSpPr/>
            </xdr:nvSpPr>
            <xdr:spPr bwMode="auto">
              <a:xfrm>
                <a:off x="903513" y="4495527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11282" name="Check Box 18" hidden="1">
                <a:extLst>
                  <a:ext uri="{63B3BB69-23CF-44E3-9099-C40C66FF867C}">
                    <a14:compatExt spid="_x0000_s11282"/>
                  </a:ext>
                  <a:ext uri="{FF2B5EF4-FFF2-40B4-BE49-F238E27FC236}">
                    <a16:creationId xmlns:a16="http://schemas.microsoft.com/office/drawing/2014/main" id="{00000000-0008-0000-1F00-0000128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11283" name="Check Box 19" hidden="1">
                <a:extLst>
                  <a:ext uri="{63B3BB69-23CF-44E3-9099-C40C66FF867C}">
                    <a14:compatExt spid="_x0000_s11283"/>
                  </a:ext>
                  <a:ext uri="{FF2B5EF4-FFF2-40B4-BE49-F238E27FC236}">
                    <a16:creationId xmlns:a16="http://schemas.microsoft.com/office/drawing/2014/main" id="{00000000-0008-0000-1F00-00001380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11284" name="Check Box 20" hidden="1">
                <a:extLst>
                  <a:ext uri="{63B3BB69-23CF-44E3-9099-C40C66FF867C}">
                    <a14:compatExt spid="_x0000_s11284"/>
                  </a:ext>
                  <a:ext uri="{FF2B5EF4-FFF2-40B4-BE49-F238E27FC236}">
                    <a16:creationId xmlns:a16="http://schemas.microsoft.com/office/drawing/2014/main" id="{00000000-0008-0000-1F00-000014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11285" name="Check Box 21" hidden="1">
                <a:extLst>
                  <a:ext uri="{63B3BB69-23CF-44E3-9099-C40C66FF867C}">
                    <a14:compatExt spid="_x0000_s11285"/>
                  </a:ext>
                  <a:ext uri="{FF2B5EF4-FFF2-40B4-BE49-F238E27FC236}">
                    <a16:creationId xmlns:a16="http://schemas.microsoft.com/office/drawing/2014/main" id="{00000000-0008-0000-1F00-00001580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11286" name="Check Box 22" hidden="1">
                <a:extLst>
                  <a:ext uri="{63B3BB69-23CF-44E3-9099-C40C66FF867C}">
                    <a14:compatExt spid="_x0000_s11286"/>
                  </a:ext>
                  <a:ext uri="{FF2B5EF4-FFF2-40B4-BE49-F238E27FC236}">
                    <a16:creationId xmlns:a16="http://schemas.microsoft.com/office/drawing/2014/main" id="{00000000-0008-0000-1F00-000016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11287" name="Check Box 23" hidden="1">
                <a:extLst>
                  <a:ext uri="{63B3BB69-23CF-44E3-9099-C40C66FF867C}">
                    <a14:compatExt spid="_x0000_s11287"/>
                  </a:ext>
                  <a:ext uri="{FF2B5EF4-FFF2-40B4-BE49-F238E27FC236}">
                    <a16:creationId xmlns:a16="http://schemas.microsoft.com/office/drawing/2014/main" id="{00000000-0008-0000-1F00-000017800000}"/>
                  </a:ext>
                </a:extLst>
              </xdr:cNvPr>
              <xdr:cNvSpPr/>
            </xdr:nvSpPr>
            <xdr:spPr bwMode="auto">
              <a:xfrm>
                <a:off x="903513" y="5855054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2A8B3649-DFFB-4B4A-BF42-11AB2CC953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6839" y="6313251"/>
              <a:ext cx="1750978" cy="376136"/>
              <a:chOff x="3535676" y="4533511"/>
              <a:chExt cx="1554480" cy="513814"/>
            </a:xfrm>
          </xdr:grpSpPr>
          <xdr:sp macro="" textlink="">
            <xdr:nvSpPr>
              <xdr:cNvPr id="11288" name="Check Box 24" hidden="1">
                <a:extLst>
                  <a:ext uri="{63B3BB69-23CF-44E3-9099-C40C66FF867C}">
                    <a14:compatExt spid="_x0000_s11288"/>
                  </a:ext>
                  <a:ext uri="{FF2B5EF4-FFF2-40B4-BE49-F238E27FC236}">
                    <a16:creationId xmlns:a16="http://schemas.microsoft.com/office/drawing/2014/main" id="{00000000-0008-0000-1F00-000018800000}"/>
                  </a:ext>
                </a:extLst>
              </xdr:cNvPr>
              <xdr:cNvSpPr/>
            </xdr:nvSpPr>
            <xdr:spPr bwMode="auto">
              <a:xfrm>
                <a:off x="3535680" y="4533511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11289" name="Check Box 25" hidden="1">
                <a:extLst>
                  <a:ext uri="{63B3BB69-23CF-44E3-9099-C40C66FF867C}">
                    <a14:compatExt spid="_x0000_s11289"/>
                  </a:ext>
                  <a:ext uri="{FF2B5EF4-FFF2-40B4-BE49-F238E27FC236}">
                    <a16:creationId xmlns:a16="http://schemas.microsoft.com/office/drawing/2014/main" id="{00000000-0008-0000-1F00-000019800000}"/>
                  </a:ext>
                </a:extLst>
              </xdr:cNvPr>
              <xdr:cNvSpPr/>
            </xdr:nvSpPr>
            <xdr:spPr bwMode="auto">
              <a:xfrm>
                <a:off x="3535676" y="4773005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5B06CCC0-ACF4-4A5A-BE32-E78FE137C8D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3928" y="3691647"/>
              <a:ext cx="1342417" cy="1512651"/>
              <a:chOff x="903513" y="4495534"/>
              <a:chExt cx="1122959" cy="1535575"/>
            </a:xfrm>
          </xdr:grpSpPr>
          <xdr:sp macro="" textlink="">
            <xdr:nvSpPr>
              <xdr:cNvPr id="11290" name="Check Box 26" hidden="1">
                <a:extLst>
                  <a:ext uri="{63B3BB69-23CF-44E3-9099-C40C66FF867C}">
                    <a14:compatExt spid="_x0000_s11290"/>
                  </a:ext>
                  <a:ext uri="{FF2B5EF4-FFF2-40B4-BE49-F238E27FC236}">
                    <a16:creationId xmlns:a16="http://schemas.microsoft.com/office/drawing/2014/main" id="{00000000-0008-0000-1F00-00001A80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11291" name="Check Box 27" hidden="1">
                <a:extLst>
                  <a:ext uri="{63B3BB69-23CF-44E3-9099-C40C66FF867C}">
                    <a14:compatExt spid="_x0000_s11291"/>
                  </a:ext>
                  <a:ext uri="{FF2B5EF4-FFF2-40B4-BE49-F238E27FC236}">
                    <a16:creationId xmlns:a16="http://schemas.microsoft.com/office/drawing/2014/main" id="{00000000-0008-0000-1F00-00001B80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11292" name="Check Box 28" hidden="1">
                <a:extLst>
                  <a:ext uri="{63B3BB69-23CF-44E3-9099-C40C66FF867C}">
                    <a14:compatExt spid="_x0000_s11292"/>
                  </a:ext>
                  <a:ext uri="{FF2B5EF4-FFF2-40B4-BE49-F238E27FC236}">
                    <a16:creationId xmlns:a16="http://schemas.microsoft.com/office/drawing/2014/main" id="{00000000-0008-0000-1F00-00001C800000}"/>
                  </a:ext>
                </a:extLst>
              </xdr:cNvPr>
              <xdr:cNvSpPr/>
            </xdr:nvSpPr>
            <xdr:spPr bwMode="auto">
              <a:xfrm>
                <a:off x="903513" y="4495534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11293" name="Check Box 29" hidden="1">
                <a:extLst>
                  <a:ext uri="{63B3BB69-23CF-44E3-9099-C40C66FF867C}">
                    <a14:compatExt spid="_x0000_s11293"/>
                  </a:ext>
                  <a:ext uri="{FF2B5EF4-FFF2-40B4-BE49-F238E27FC236}">
                    <a16:creationId xmlns:a16="http://schemas.microsoft.com/office/drawing/2014/main" id="{00000000-0008-0000-1F00-00001D80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11294" name="Check Box 30" hidden="1">
                <a:extLst>
                  <a:ext uri="{63B3BB69-23CF-44E3-9099-C40C66FF867C}">
                    <a14:compatExt spid="_x0000_s11294"/>
                  </a:ext>
                  <a:ext uri="{FF2B5EF4-FFF2-40B4-BE49-F238E27FC236}">
                    <a16:creationId xmlns:a16="http://schemas.microsoft.com/office/drawing/2014/main" id="{00000000-0008-0000-1F00-00001E8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11295" name="Check Box 31" hidden="1">
                <a:extLst>
                  <a:ext uri="{63B3BB69-23CF-44E3-9099-C40C66FF867C}">
                    <a14:compatExt spid="_x0000_s11295"/>
                  </a:ext>
                  <a:ext uri="{FF2B5EF4-FFF2-40B4-BE49-F238E27FC236}">
                    <a16:creationId xmlns:a16="http://schemas.microsoft.com/office/drawing/2014/main" id="{00000000-0008-0000-1F00-00001F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11296" name="Check Box 32" hidden="1">
                <a:extLst>
                  <a:ext uri="{63B3BB69-23CF-44E3-9099-C40C66FF867C}">
                    <a14:compatExt spid="_x0000_s11296"/>
                  </a:ext>
                  <a:ext uri="{FF2B5EF4-FFF2-40B4-BE49-F238E27FC236}">
                    <a16:creationId xmlns:a16="http://schemas.microsoft.com/office/drawing/2014/main" id="{00000000-0008-0000-1F00-00002080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11297" name="Check Box 33" hidden="1">
                <a:extLst>
                  <a:ext uri="{63B3BB69-23CF-44E3-9099-C40C66FF867C}">
                    <a14:compatExt spid="_x0000_s11297"/>
                  </a:ext>
                  <a:ext uri="{FF2B5EF4-FFF2-40B4-BE49-F238E27FC236}">
                    <a16:creationId xmlns:a16="http://schemas.microsoft.com/office/drawing/2014/main" id="{00000000-0008-0000-1F00-000021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11298" name="Check Box 34" hidden="1">
                <a:extLst>
                  <a:ext uri="{63B3BB69-23CF-44E3-9099-C40C66FF867C}">
                    <a14:compatExt spid="_x0000_s11298"/>
                  </a:ext>
                  <a:ext uri="{FF2B5EF4-FFF2-40B4-BE49-F238E27FC236}">
                    <a16:creationId xmlns:a16="http://schemas.microsoft.com/office/drawing/2014/main" id="{00000000-0008-0000-1F00-000022800000}"/>
                  </a:ext>
                </a:extLst>
              </xdr:cNvPr>
              <xdr:cNvSpPr/>
            </xdr:nvSpPr>
            <xdr:spPr bwMode="auto">
              <a:xfrm>
                <a:off x="903513" y="5903547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A0A79EB4-BA22-4CFC-86B5-C40C88385DFB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6A1D24AB-00E7-4302-A3AC-626A85C47A92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542E869A-53B9-41B9-9475-9E4C2E953690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F1D02870-5A66-4DB0-9532-5DFCAFAA9D40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38E16A12-BA29-4544-AD65-A979CE878892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EDCC241B-1C73-4BAE-926E-2A59D10778C7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53831AFF-58FE-4AA6-846A-C735621915FF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A93F2F61-E6B4-4F65-8907-8199BA380F7F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348B19DF-CA7D-4F8E-8B7A-BF3591A412C8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98B1617F-4AF8-4D83-9192-0D653026B838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4817" y="4568757"/>
              <a:ext cx="1078149" cy="1819073"/>
              <a:chOff x="903513" y="4495523"/>
              <a:chExt cx="1122959" cy="1545362"/>
            </a:xfrm>
          </xdr:grpSpPr>
          <xdr:sp macro="" textlink="">
            <xdr:nvSpPr>
              <xdr:cNvPr id="11299" name="Check Box 35" hidden="1">
                <a:extLst>
                  <a:ext uri="{63B3BB69-23CF-44E3-9099-C40C66FF867C}">
                    <a14:compatExt spid="_x0000_s11299"/>
                  </a:ext>
                  <a:ext uri="{FF2B5EF4-FFF2-40B4-BE49-F238E27FC236}">
                    <a16:creationId xmlns:a16="http://schemas.microsoft.com/office/drawing/2014/main" id="{00000000-0008-0000-1F00-00002380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11300" name="Check Box 36" hidden="1">
                <a:extLst>
                  <a:ext uri="{63B3BB69-23CF-44E3-9099-C40C66FF867C}">
                    <a14:compatExt spid="_x0000_s11300"/>
                  </a:ext>
                  <a:ext uri="{FF2B5EF4-FFF2-40B4-BE49-F238E27FC236}">
                    <a16:creationId xmlns:a16="http://schemas.microsoft.com/office/drawing/2014/main" id="{00000000-0008-0000-1F00-00002480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11301" name="Check Box 37" hidden="1">
                <a:extLst>
                  <a:ext uri="{63B3BB69-23CF-44E3-9099-C40C66FF867C}">
                    <a14:compatExt spid="_x0000_s11301"/>
                  </a:ext>
                  <a:ext uri="{FF2B5EF4-FFF2-40B4-BE49-F238E27FC236}">
                    <a16:creationId xmlns:a16="http://schemas.microsoft.com/office/drawing/2014/main" id="{00000000-0008-0000-1F00-000025800000}"/>
                  </a:ext>
                </a:extLst>
              </xdr:cNvPr>
              <xdr:cNvSpPr/>
            </xdr:nvSpPr>
            <xdr:spPr bwMode="auto">
              <a:xfrm>
                <a:off x="903513" y="4495523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11302" name="Check Box 38" hidden="1">
                <a:extLst>
                  <a:ext uri="{63B3BB69-23CF-44E3-9099-C40C66FF867C}">
                    <a14:compatExt spid="_x0000_s11302"/>
                  </a:ext>
                  <a:ext uri="{FF2B5EF4-FFF2-40B4-BE49-F238E27FC236}">
                    <a16:creationId xmlns:a16="http://schemas.microsoft.com/office/drawing/2014/main" id="{00000000-0008-0000-1F00-0000268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11303" name="Check Box 39" hidden="1">
                <a:extLst>
                  <a:ext uri="{63B3BB69-23CF-44E3-9099-C40C66FF867C}">
                    <a14:compatExt spid="_x0000_s11303"/>
                  </a:ext>
                  <a:ext uri="{FF2B5EF4-FFF2-40B4-BE49-F238E27FC236}">
                    <a16:creationId xmlns:a16="http://schemas.microsoft.com/office/drawing/2014/main" id="{00000000-0008-0000-1F00-0000278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11304" name="Check Box 40" hidden="1">
                <a:extLst>
                  <a:ext uri="{63B3BB69-23CF-44E3-9099-C40C66FF867C}">
                    <a14:compatExt spid="_x0000_s11304"/>
                  </a:ext>
                  <a:ext uri="{FF2B5EF4-FFF2-40B4-BE49-F238E27FC236}">
                    <a16:creationId xmlns:a16="http://schemas.microsoft.com/office/drawing/2014/main" id="{00000000-0008-0000-1F00-000028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11305" name="Check Box 41" hidden="1">
                <a:extLst>
                  <a:ext uri="{63B3BB69-23CF-44E3-9099-C40C66FF867C}">
                    <a14:compatExt spid="_x0000_s11305"/>
                  </a:ext>
                  <a:ext uri="{FF2B5EF4-FFF2-40B4-BE49-F238E27FC236}">
                    <a16:creationId xmlns:a16="http://schemas.microsoft.com/office/drawing/2014/main" id="{00000000-0008-0000-1F00-00002980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11306" name="Check Box 42" hidden="1">
                <a:extLst>
                  <a:ext uri="{63B3BB69-23CF-44E3-9099-C40C66FF867C}">
                    <a14:compatExt spid="_x0000_s11306"/>
                  </a:ext>
                  <a:ext uri="{FF2B5EF4-FFF2-40B4-BE49-F238E27FC236}">
                    <a16:creationId xmlns:a16="http://schemas.microsoft.com/office/drawing/2014/main" id="{00000000-0008-0000-1F00-00002A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11307" name="Check Box 43" hidden="1">
                <a:extLst>
                  <a:ext uri="{63B3BB69-23CF-44E3-9099-C40C66FF867C}">
                    <a14:compatExt spid="_x0000_s11307"/>
                  </a:ext>
                  <a:ext uri="{FF2B5EF4-FFF2-40B4-BE49-F238E27FC236}">
                    <a16:creationId xmlns:a16="http://schemas.microsoft.com/office/drawing/2014/main" id="{00000000-0008-0000-1F00-00002B800000}"/>
                  </a:ext>
                </a:extLst>
              </xdr:cNvPr>
              <xdr:cNvSpPr/>
            </xdr:nvSpPr>
            <xdr:spPr bwMode="auto">
              <a:xfrm>
                <a:off x="903513" y="5932885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8B89557A-0615-4715-B764-CCA3D893617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145" y="4568757"/>
              <a:ext cx="800910" cy="1819073"/>
              <a:chOff x="1676400" y="4286246"/>
              <a:chExt cx="800100" cy="1514493"/>
            </a:xfrm>
          </xdr:grpSpPr>
          <xdr:sp macro="" textlink="">
            <xdr:nvSpPr>
              <xdr:cNvPr id="11308" name="Check Box 44" hidden="1">
                <a:extLst>
                  <a:ext uri="{63B3BB69-23CF-44E3-9099-C40C66FF867C}">
                    <a14:compatExt spid="_x0000_s11308"/>
                  </a:ext>
                  <a:ext uri="{FF2B5EF4-FFF2-40B4-BE49-F238E27FC236}">
                    <a16:creationId xmlns:a16="http://schemas.microsoft.com/office/drawing/2014/main" id="{00000000-0008-0000-1F00-00002C80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11309" name="Check Box 45" hidden="1">
                <a:extLst>
                  <a:ext uri="{63B3BB69-23CF-44E3-9099-C40C66FF867C}">
                    <a14:compatExt spid="_x0000_s11309"/>
                  </a:ext>
                  <a:ext uri="{FF2B5EF4-FFF2-40B4-BE49-F238E27FC236}">
                    <a16:creationId xmlns:a16="http://schemas.microsoft.com/office/drawing/2014/main" id="{00000000-0008-0000-1F00-00002D80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11310" name="Check Box 46" descr="추락" hidden="1">
                <a:extLst>
                  <a:ext uri="{63B3BB69-23CF-44E3-9099-C40C66FF867C}">
                    <a14:compatExt spid="_x0000_s11310"/>
                  </a:ext>
                  <a:ext uri="{FF2B5EF4-FFF2-40B4-BE49-F238E27FC236}">
                    <a16:creationId xmlns:a16="http://schemas.microsoft.com/office/drawing/2014/main" id="{00000000-0008-0000-1F00-00002E800000}"/>
                  </a:ext>
                </a:extLst>
              </xdr:cNvPr>
              <xdr:cNvSpPr/>
            </xdr:nvSpPr>
            <xdr:spPr bwMode="auto">
              <a:xfrm>
                <a:off x="1676400" y="4286246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11311" name="Check Box 47" hidden="1">
                <a:extLst>
                  <a:ext uri="{63B3BB69-23CF-44E3-9099-C40C66FF867C}">
                    <a14:compatExt spid="_x0000_s11311"/>
                  </a:ext>
                  <a:ext uri="{FF2B5EF4-FFF2-40B4-BE49-F238E27FC236}">
                    <a16:creationId xmlns:a16="http://schemas.microsoft.com/office/drawing/2014/main" id="{00000000-0008-0000-1F00-00002F80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11312" name="Check Box 48" hidden="1">
                <a:extLst>
                  <a:ext uri="{63B3BB69-23CF-44E3-9099-C40C66FF867C}">
                    <a14:compatExt spid="_x0000_s11312"/>
                  </a:ext>
                  <a:ext uri="{FF2B5EF4-FFF2-40B4-BE49-F238E27FC236}">
                    <a16:creationId xmlns:a16="http://schemas.microsoft.com/office/drawing/2014/main" id="{00000000-0008-0000-1F00-00003080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11313" name="Check Box 49" hidden="1">
                <a:extLst>
                  <a:ext uri="{63B3BB69-23CF-44E3-9099-C40C66FF867C}">
                    <a14:compatExt spid="_x0000_s11313"/>
                  </a:ext>
                  <a:ext uri="{FF2B5EF4-FFF2-40B4-BE49-F238E27FC236}">
                    <a16:creationId xmlns:a16="http://schemas.microsoft.com/office/drawing/2014/main" id="{00000000-0008-0000-1F00-00003180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11314" name="Check Box 50" hidden="1">
                <a:extLst>
                  <a:ext uri="{63B3BB69-23CF-44E3-9099-C40C66FF867C}">
                    <a14:compatExt spid="_x0000_s11314"/>
                  </a:ext>
                  <a:ext uri="{FF2B5EF4-FFF2-40B4-BE49-F238E27FC236}">
                    <a16:creationId xmlns:a16="http://schemas.microsoft.com/office/drawing/2014/main" id="{00000000-0008-0000-1F00-00003280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11315" name="Check Box 51" hidden="1">
                <a:extLst>
                  <a:ext uri="{63B3BB69-23CF-44E3-9099-C40C66FF867C}">
                    <a14:compatExt spid="_x0000_s11315"/>
                  </a:ext>
                  <a:ext uri="{FF2B5EF4-FFF2-40B4-BE49-F238E27FC236}">
                    <a16:creationId xmlns:a16="http://schemas.microsoft.com/office/drawing/2014/main" id="{00000000-0008-0000-1F00-00003380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11316" name="Check Box 52" hidden="1">
                <a:extLst>
                  <a:ext uri="{63B3BB69-23CF-44E3-9099-C40C66FF867C}">
                    <a14:compatExt spid="_x0000_s11316"/>
                  </a:ext>
                  <a:ext uri="{FF2B5EF4-FFF2-40B4-BE49-F238E27FC236}">
                    <a16:creationId xmlns:a16="http://schemas.microsoft.com/office/drawing/2014/main" id="{00000000-0008-0000-1F00-000034800000}"/>
                  </a:ext>
                </a:extLst>
              </xdr:cNvPr>
              <xdr:cNvSpPr/>
            </xdr:nvSpPr>
            <xdr:spPr bwMode="auto">
              <a:xfrm>
                <a:off x="1676400" y="5694897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2A10CA77-02D2-46EC-A8D5-5A037EE04D5C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15945D21-0AE3-4E34-A8B6-15E5FEB67957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EB15C1FB-7DF6-45B7-A507-1698B245ED39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E9986B47-FCE3-4A8B-A9C9-CFCAA5BBAE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244170AE-E0AB-472E-9CAB-5A1022B048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BE14C40E-B3E2-48CE-A7BF-B1984679C3FA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3C26BDDB-1536-47B9-AAC9-F2FE6E5A5E83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9992CCB3-B397-4C6B-8341-956086995E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BEA28C49-642E-4564-8187-EAB10CEDD41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3928" y="5463702"/>
              <a:ext cx="1086255" cy="1480226"/>
              <a:chOff x="1883093" y="4572945"/>
              <a:chExt cx="969630" cy="1683077"/>
            </a:xfrm>
          </xdr:grpSpPr>
          <xdr:sp macro="" textlink="">
            <xdr:nvSpPr>
              <xdr:cNvPr id="10241" name="Check Box 1" hidden="1">
                <a:extLst>
                  <a:ext uri="{63B3BB69-23CF-44E3-9099-C40C66FF867C}">
                    <a14:compatExt spid="_x0000_s10241"/>
                  </a:ext>
                  <a:ext uri="{FF2B5EF4-FFF2-40B4-BE49-F238E27FC236}">
                    <a16:creationId xmlns:a16="http://schemas.microsoft.com/office/drawing/2014/main" id="{00000000-0008-0000-1F00-00000180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10242" name="Check Box 2" hidden="1">
                <a:extLst>
                  <a:ext uri="{63B3BB69-23CF-44E3-9099-C40C66FF867C}">
                    <a14:compatExt spid="_x0000_s10242"/>
                  </a:ext>
                  <a:ext uri="{FF2B5EF4-FFF2-40B4-BE49-F238E27FC236}">
                    <a16:creationId xmlns:a16="http://schemas.microsoft.com/office/drawing/2014/main" id="{00000000-0008-0000-1F00-00000280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10243" name="Check Box 3" hidden="1">
                <a:extLst>
                  <a:ext uri="{63B3BB69-23CF-44E3-9099-C40C66FF867C}">
                    <a14:compatExt spid="_x0000_s10243"/>
                  </a:ext>
                  <a:ext uri="{FF2B5EF4-FFF2-40B4-BE49-F238E27FC236}">
                    <a16:creationId xmlns:a16="http://schemas.microsoft.com/office/drawing/2014/main" id="{00000000-0008-0000-1F00-000003800000}"/>
                  </a:ext>
                </a:extLst>
              </xdr:cNvPr>
              <xdr:cNvSpPr/>
            </xdr:nvSpPr>
            <xdr:spPr bwMode="auto">
              <a:xfrm>
                <a:off x="1883093" y="516849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10244" name="Check Box 4" hidden="1">
                <a:extLst>
                  <a:ext uri="{63B3BB69-23CF-44E3-9099-C40C66FF867C}">
                    <a14:compatExt spid="_x0000_s10244"/>
                  </a:ext>
                  <a:ext uri="{FF2B5EF4-FFF2-40B4-BE49-F238E27FC236}">
                    <a16:creationId xmlns:a16="http://schemas.microsoft.com/office/drawing/2014/main" id="{00000000-0008-0000-1F00-00000480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10245" name="Check Box 5" hidden="1">
                <a:extLst>
                  <a:ext uri="{63B3BB69-23CF-44E3-9099-C40C66FF867C}">
                    <a14:compatExt spid="_x0000_s10245"/>
                  </a:ext>
                  <a:ext uri="{FF2B5EF4-FFF2-40B4-BE49-F238E27FC236}">
                    <a16:creationId xmlns:a16="http://schemas.microsoft.com/office/drawing/2014/main" id="{00000000-0008-0000-1F00-00000580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10246" name="Check Box 6" hidden="1">
                <a:extLst>
                  <a:ext uri="{63B3BB69-23CF-44E3-9099-C40C66FF867C}">
                    <a14:compatExt spid="_x0000_s10246"/>
                  </a:ext>
                  <a:ext uri="{FF2B5EF4-FFF2-40B4-BE49-F238E27FC236}">
                    <a16:creationId xmlns:a16="http://schemas.microsoft.com/office/drawing/2014/main" id="{00000000-0008-0000-1F00-000006800000}"/>
                  </a:ext>
                </a:extLst>
              </xdr:cNvPr>
              <xdr:cNvSpPr/>
            </xdr:nvSpPr>
            <xdr:spPr bwMode="auto">
              <a:xfrm>
                <a:off x="1883093" y="576404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10247" name="Check Box 7" hidden="1">
                <a:extLst>
                  <a:ext uri="{63B3BB69-23CF-44E3-9099-C40C66FF867C}">
                    <a14:compatExt spid="_x0000_s10247"/>
                  </a:ext>
                  <a:ext uri="{FF2B5EF4-FFF2-40B4-BE49-F238E27FC236}">
                    <a16:creationId xmlns:a16="http://schemas.microsoft.com/office/drawing/2014/main" id="{00000000-0008-0000-1F00-00000780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10248" name="Check Box 8" hidden="1">
                <a:extLst>
                  <a:ext uri="{63B3BB69-23CF-44E3-9099-C40C66FF867C}">
                    <a14:compatExt spid="_x0000_s10248"/>
                  </a:ext>
                  <a:ext uri="{FF2B5EF4-FFF2-40B4-BE49-F238E27FC236}">
                    <a16:creationId xmlns:a16="http://schemas.microsoft.com/office/drawing/2014/main" id="{00000000-0008-0000-1F00-000008800000}"/>
                  </a:ext>
                </a:extLst>
              </xdr:cNvPr>
              <xdr:cNvSpPr/>
            </xdr:nvSpPr>
            <xdr:spPr bwMode="auto">
              <a:xfrm>
                <a:off x="1883093" y="5962563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C9FE4ABA-155D-45D2-AC69-F1D720A6C30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6839" y="5755532"/>
              <a:ext cx="1750978" cy="462063"/>
              <a:chOff x="3535676" y="4572045"/>
              <a:chExt cx="1554480" cy="449553"/>
            </a:xfrm>
          </xdr:grpSpPr>
          <xdr:sp macro="" textlink="">
            <xdr:nvSpPr>
              <xdr:cNvPr id="10249" name="Check Box 9" hidden="1">
                <a:extLst>
                  <a:ext uri="{63B3BB69-23CF-44E3-9099-C40C66FF867C}">
                    <a14:compatExt spid="_x0000_s10249"/>
                  </a:ext>
                  <a:ext uri="{FF2B5EF4-FFF2-40B4-BE49-F238E27FC236}">
                    <a16:creationId xmlns:a16="http://schemas.microsoft.com/office/drawing/2014/main" id="{00000000-0008-0000-1F00-000009800000}"/>
                  </a:ext>
                </a:extLst>
              </xdr:cNvPr>
              <xdr:cNvSpPr/>
            </xdr:nvSpPr>
            <xdr:spPr bwMode="auto">
              <a:xfrm>
                <a:off x="3535680" y="4572045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10250" name="Check Box 10" hidden="1">
                <a:extLst>
                  <a:ext uri="{63B3BB69-23CF-44E3-9099-C40C66FF867C}">
                    <a14:compatExt spid="_x0000_s10250"/>
                  </a:ext>
                  <a:ext uri="{FF2B5EF4-FFF2-40B4-BE49-F238E27FC236}">
                    <a16:creationId xmlns:a16="http://schemas.microsoft.com/office/drawing/2014/main" id="{00000000-0008-0000-1F00-00000A800000}"/>
                  </a:ext>
                </a:extLst>
              </xdr:cNvPr>
              <xdr:cNvSpPr/>
            </xdr:nvSpPr>
            <xdr:spPr bwMode="auto">
              <a:xfrm>
                <a:off x="3535676" y="4747278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D96895F0-A961-418E-B412-5238C7D1E9C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39127" y="5945221"/>
              <a:ext cx="781456" cy="726332"/>
              <a:chOff x="5394960" y="4838701"/>
              <a:chExt cx="568701" cy="722503"/>
            </a:xfrm>
          </xdr:grpSpPr>
          <xdr:sp macro="" textlink="">
            <xdr:nvSpPr>
              <xdr:cNvPr id="10251" name="Check Box 11" hidden="1">
                <a:extLst>
                  <a:ext uri="{63B3BB69-23CF-44E3-9099-C40C66FF867C}">
                    <a14:compatExt spid="_x0000_s10251"/>
                  </a:ext>
                  <a:ext uri="{FF2B5EF4-FFF2-40B4-BE49-F238E27FC236}">
                    <a16:creationId xmlns:a16="http://schemas.microsoft.com/office/drawing/2014/main" id="{00000000-0008-0000-1F00-00000B800000}"/>
                  </a:ext>
                </a:extLst>
              </xdr:cNvPr>
              <xdr:cNvSpPr/>
            </xdr:nvSpPr>
            <xdr:spPr bwMode="auto">
              <a:xfrm>
                <a:off x="5394960" y="4838701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10252" name="Check Box 12" hidden="1">
                <a:extLst>
                  <a:ext uri="{63B3BB69-23CF-44E3-9099-C40C66FF867C}">
                    <a14:compatExt spid="_x0000_s10252"/>
                  </a:ext>
                  <a:ext uri="{FF2B5EF4-FFF2-40B4-BE49-F238E27FC236}">
                    <a16:creationId xmlns:a16="http://schemas.microsoft.com/office/drawing/2014/main" id="{00000000-0008-0000-1F00-00000C80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10253" name="Check Box 13" hidden="1">
                <a:extLst>
                  <a:ext uri="{63B3BB69-23CF-44E3-9099-C40C66FF867C}">
                    <a14:compatExt spid="_x0000_s10253"/>
                  </a:ext>
                  <a:ext uri="{FF2B5EF4-FFF2-40B4-BE49-F238E27FC236}">
                    <a16:creationId xmlns:a16="http://schemas.microsoft.com/office/drawing/2014/main" id="{00000000-0008-0000-1F00-00000D80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10254" name="Check Box 14" hidden="1">
                <a:extLst>
                  <a:ext uri="{63B3BB69-23CF-44E3-9099-C40C66FF867C}">
                    <a14:compatExt spid="_x0000_s10254"/>
                  </a:ext>
                  <a:ext uri="{FF2B5EF4-FFF2-40B4-BE49-F238E27FC236}">
                    <a16:creationId xmlns:a16="http://schemas.microsoft.com/office/drawing/2014/main" id="{00000000-0008-0000-1F00-00000E800000}"/>
                  </a:ext>
                </a:extLst>
              </xdr:cNvPr>
              <xdr:cNvSpPr/>
            </xdr:nvSpPr>
            <xdr:spPr bwMode="auto">
              <a:xfrm>
                <a:off x="5394960" y="5417808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68296234-41CF-4682-BB78-7F198EA18426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09745" y="3691647"/>
              <a:ext cx="1467255" cy="1522379"/>
              <a:chOff x="903513" y="4495527"/>
              <a:chExt cx="1122959" cy="1545361"/>
            </a:xfrm>
          </xdr:grpSpPr>
          <xdr:sp macro="" textlink="">
            <xdr:nvSpPr>
              <xdr:cNvPr id="10255" name="Check Box 15" hidden="1">
                <a:extLst>
                  <a:ext uri="{63B3BB69-23CF-44E3-9099-C40C66FF867C}">
                    <a14:compatExt spid="_x0000_s10255"/>
                  </a:ext>
                  <a:ext uri="{FF2B5EF4-FFF2-40B4-BE49-F238E27FC236}">
                    <a16:creationId xmlns:a16="http://schemas.microsoft.com/office/drawing/2014/main" id="{00000000-0008-0000-1F00-00000F80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10256" name="Check Box 16" hidden="1">
                <a:extLst>
                  <a:ext uri="{63B3BB69-23CF-44E3-9099-C40C66FF867C}">
                    <a14:compatExt spid="_x0000_s10256"/>
                  </a:ext>
                  <a:ext uri="{FF2B5EF4-FFF2-40B4-BE49-F238E27FC236}">
                    <a16:creationId xmlns:a16="http://schemas.microsoft.com/office/drawing/2014/main" id="{00000000-0008-0000-1F00-00001080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10257" name="Check Box 17" hidden="1">
                <a:extLst>
                  <a:ext uri="{63B3BB69-23CF-44E3-9099-C40C66FF867C}">
                    <a14:compatExt spid="_x0000_s10257"/>
                  </a:ext>
                  <a:ext uri="{FF2B5EF4-FFF2-40B4-BE49-F238E27FC236}">
                    <a16:creationId xmlns:a16="http://schemas.microsoft.com/office/drawing/2014/main" id="{00000000-0008-0000-1F00-000011800000}"/>
                  </a:ext>
                </a:extLst>
              </xdr:cNvPr>
              <xdr:cNvSpPr/>
            </xdr:nvSpPr>
            <xdr:spPr bwMode="auto">
              <a:xfrm>
                <a:off x="903513" y="4495527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10258" name="Check Box 18" hidden="1">
                <a:extLst>
                  <a:ext uri="{63B3BB69-23CF-44E3-9099-C40C66FF867C}">
                    <a14:compatExt spid="_x0000_s10258"/>
                  </a:ext>
                  <a:ext uri="{FF2B5EF4-FFF2-40B4-BE49-F238E27FC236}">
                    <a16:creationId xmlns:a16="http://schemas.microsoft.com/office/drawing/2014/main" id="{00000000-0008-0000-1F00-0000128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10259" name="Check Box 19" hidden="1">
                <a:extLst>
                  <a:ext uri="{63B3BB69-23CF-44E3-9099-C40C66FF867C}">
                    <a14:compatExt spid="_x0000_s10259"/>
                  </a:ext>
                  <a:ext uri="{FF2B5EF4-FFF2-40B4-BE49-F238E27FC236}">
                    <a16:creationId xmlns:a16="http://schemas.microsoft.com/office/drawing/2014/main" id="{00000000-0008-0000-1F00-00001380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10260" name="Check Box 20" hidden="1">
                <a:extLst>
                  <a:ext uri="{63B3BB69-23CF-44E3-9099-C40C66FF867C}">
                    <a14:compatExt spid="_x0000_s10260"/>
                  </a:ext>
                  <a:ext uri="{FF2B5EF4-FFF2-40B4-BE49-F238E27FC236}">
                    <a16:creationId xmlns:a16="http://schemas.microsoft.com/office/drawing/2014/main" id="{00000000-0008-0000-1F00-000014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10261" name="Check Box 21" hidden="1">
                <a:extLst>
                  <a:ext uri="{63B3BB69-23CF-44E3-9099-C40C66FF867C}">
                    <a14:compatExt spid="_x0000_s10261"/>
                  </a:ext>
                  <a:ext uri="{FF2B5EF4-FFF2-40B4-BE49-F238E27FC236}">
                    <a16:creationId xmlns:a16="http://schemas.microsoft.com/office/drawing/2014/main" id="{00000000-0008-0000-1F00-00001580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10262" name="Check Box 22" hidden="1">
                <a:extLst>
                  <a:ext uri="{63B3BB69-23CF-44E3-9099-C40C66FF867C}">
                    <a14:compatExt spid="_x0000_s10262"/>
                  </a:ext>
                  <a:ext uri="{FF2B5EF4-FFF2-40B4-BE49-F238E27FC236}">
                    <a16:creationId xmlns:a16="http://schemas.microsoft.com/office/drawing/2014/main" id="{00000000-0008-0000-1F00-000016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10263" name="Check Box 23" hidden="1">
                <a:extLst>
                  <a:ext uri="{63B3BB69-23CF-44E3-9099-C40C66FF867C}">
                    <a14:compatExt spid="_x0000_s10263"/>
                  </a:ext>
                  <a:ext uri="{FF2B5EF4-FFF2-40B4-BE49-F238E27FC236}">
                    <a16:creationId xmlns:a16="http://schemas.microsoft.com/office/drawing/2014/main" id="{00000000-0008-0000-1F00-000017800000}"/>
                  </a:ext>
                </a:extLst>
              </xdr:cNvPr>
              <xdr:cNvSpPr/>
            </xdr:nvSpPr>
            <xdr:spPr bwMode="auto">
              <a:xfrm>
                <a:off x="903513" y="5855054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B37DB28E-3EFB-4ED4-9D7C-686F70F3E388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6839" y="6313251"/>
              <a:ext cx="1750978" cy="376136"/>
              <a:chOff x="3535676" y="4533511"/>
              <a:chExt cx="1554480" cy="513814"/>
            </a:xfrm>
          </xdr:grpSpPr>
          <xdr:sp macro="" textlink="">
            <xdr:nvSpPr>
              <xdr:cNvPr id="10264" name="Check Box 24" hidden="1">
                <a:extLst>
                  <a:ext uri="{63B3BB69-23CF-44E3-9099-C40C66FF867C}">
                    <a14:compatExt spid="_x0000_s10264"/>
                  </a:ext>
                  <a:ext uri="{FF2B5EF4-FFF2-40B4-BE49-F238E27FC236}">
                    <a16:creationId xmlns:a16="http://schemas.microsoft.com/office/drawing/2014/main" id="{00000000-0008-0000-1F00-000018800000}"/>
                  </a:ext>
                </a:extLst>
              </xdr:cNvPr>
              <xdr:cNvSpPr/>
            </xdr:nvSpPr>
            <xdr:spPr bwMode="auto">
              <a:xfrm>
                <a:off x="3535680" y="4533511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10265" name="Check Box 25" hidden="1">
                <a:extLst>
                  <a:ext uri="{63B3BB69-23CF-44E3-9099-C40C66FF867C}">
                    <a14:compatExt spid="_x0000_s10265"/>
                  </a:ext>
                  <a:ext uri="{FF2B5EF4-FFF2-40B4-BE49-F238E27FC236}">
                    <a16:creationId xmlns:a16="http://schemas.microsoft.com/office/drawing/2014/main" id="{00000000-0008-0000-1F00-000019800000}"/>
                  </a:ext>
                </a:extLst>
              </xdr:cNvPr>
              <xdr:cNvSpPr/>
            </xdr:nvSpPr>
            <xdr:spPr bwMode="auto">
              <a:xfrm>
                <a:off x="3535676" y="4773005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A03F6910-549F-4063-95D6-8C176E78EB3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3928" y="3691647"/>
              <a:ext cx="1342417" cy="1512651"/>
              <a:chOff x="903513" y="4495534"/>
              <a:chExt cx="1122959" cy="1535575"/>
            </a:xfrm>
          </xdr:grpSpPr>
          <xdr:sp macro="" textlink="">
            <xdr:nvSpPr>
              <xdr:cNvPr id="10266" name="Check Box 26" hidden="1">
                <a:extLst>
                  <a:ext uri="{63B3BB69-23CF-44E3-9099-C40C66FF867C}">
                    <a14:compatExt spid="_x0000_s10266"/>
                  </a:ext>
                  <a:ext uri="{FF2B5EF4-FFF2-40B4-BE49-F238E27FC236}">
                    <a16:creationId xmlns:a16="http://schemas.microsoft.com/office/drawing/2014/main" id="{00000000-0008-0000-1F00-00001A80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10267" name="Check Box 27" hidden="1">
                <a:extLst>
                  <a:ext uri="{63B3BB69-23CF-44E3-9099-C40C66FF867C}">
                    <a14:compatExt spid="_x0000_s10267"/>
                  </a:ext>
                  <a:ext uri="{FF2B5EF4-FFF2-40B4-BE49-F238E27FC236}">
                    <a16:creationId xmlns:a16="http://schemas.microsoft.com/office/drawing/2014/main" id="{00000000-0008-0000-1F00-00001B80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10268" name="Check Box 28" hidden="1">
                <a:extLst>
                  <a:ext uri="{63B3BB69-23CF-44E3-9099-C40C66FF867C}">
                    <a14:compatExt spid="_x0000_s10268"/>
                  </a:ext>
                  <a:ext uri="{FF2B5EF4-FFF2-40B4-BE49-F238E27FC236}">
                    <a16:creationId xmlns:a16="http://schemas.microsoft.com/office/drawing/2014/main" id="{00000000-0008-0000-1F00-00001C800000}"/>
                  </a:ext>
                </a:extLst>
              </xdr:cNvPr>
              <xdr:cNvSpPr/>
            </xdr:nvSpPr>
            <xdr:spPr bwMode="auto">
              <a:xfrm>
                <a:off x="903513" y="4495534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10269" name="Check Box 29" hidden="1">
                <a:extLst>
                  <a:ext uri="{63B3BB69-23CF-44E3-9099-C40C66FF867C}">
                    <a14:compatExt spid="_x0000_s10269"/>
                  </a:ext>
                  <a:ext uri="{FF2B5EF4-FFF2-40B4-BE49-F238E27FC236}">
                    <a16:creationId xmlns:a16="http://schemas.microsoft.com/office/drawing/2014/main" id="{00000000-0008-0000-1F00-00001D80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10270" name="Check Box 30" hidden="1">
                <a:extLst>
                  <a:ext uri="{63B3BB69-23CF-44E3-9099-C40C66FF867C}">
                    <a14:compatExt spid="_x0000_s10270"/>
                  </a:ext>
                  <a:ext uri="{FF2B5EF4-FFF2-40B4-BE49-F238E27FC236}">
                    <a16:creationId xmlns:a16="http://schemas.microsoft.com/office/drawing/2014/main" id="{00000000-0008-0000-1F00-00001E8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10271" name="Check Box 31" hidden="1">
                <a:extLst>
                  <a:ext uri="{63B3BB69-23CF-44E3-9099-C40C66FF867C}">
                    <a14:compatExt spid="_x0000_s10271"/>
                  </a:ext>
                  <a:ext uri="{FF2B5EF4-FFF2-40B4-BE49-F238E27FC236}">
                    <a16:creationId xmlns:a16="http://schemas.microsoft.com/office/drawing/2014/main" id="{00000000-0008-0000-1F00-00001F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10272" name="Check Box 32" hidden="1">
                <a:extLst>
                  <a:ext uri="{63B3BB69-23CF-44E3-9099-C40C66FF867C}">
                    <a14:compatExt spid="_x0000_s10272"/>
                  </a:ext>
                  <a:ext uri="{FF2B5EF4-FFF2-40B4-BE49-F238E27FC236}">
                    <a16:creationId xmlns:a16="http://schemas.microsoft.com/office/drawing/2014/main" id="{00000000-0008-0000-1F00-00002080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10273" name="Check Box 33" hidden="1">
                <a:extLst>
                  <a:ext uri="{63B3BB69-23CF-44E3-9099-C40C66FF867C}">
                    <a14:compatExt spid="_x0000_s10273"/>
                  </a:ext>
                  <a:ext uri="{FF2B5EF4-FFF2-40B4-BE49-F238E27FC236}">
                    <a16:creationId xmlns:a16="http://schemas.microsoft.com/office/drawing/2014/main" id="{00000000-0008-0000-1F00-000021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10274" name="Check Box 34" hidden="1">
                <a:extLst>
                  <a:ext uri="{63B3BB69-23CF-44E3-9099-C40C66FF867C}">
                    <a14:compatExt spid="_x0000_s10274"/>
                  </a:ext>
                  <a:ext uri="{FF2B5EF4-FFF2-40B4-BE49-F238E27FC236}">
                    <a16:creationId xmlns:a16="http://schemas.microsoft.com/office/drawing/2014/main" id="{00000000-0008-0000-1F00-000022800000}"/>
                  </a:ext>
                </a:extLst>
              </xdr:cNvPr>
              <xdr:cNvSpPr/>
            </xdr:nvSpPr>
            <xdr:spPr bwMode="auto">
              <a:xfrm>
                <a:off x="903513" y="5903547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7C17CF62-2874-4DAF-8DCD-1087B6FCF983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E1B36E8D-517E-4A7B-8681-39B130BDB399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80E488D7-52C2-4DC3-93E6-26E987DF7730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139BEB52-76F3-4C21-A620-8AAEE748838E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DCB5854A-5EC1-4483-896C-B1A16B70AEFE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9AC1B038-8871-4E50-AAEE-EFE8F1BEFA6A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95EDD5B9-32AD-4186-966F-DD4C3ABC8153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D18A5AFC-7BAB-4F38-B5A3-DB09382BFFD4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21231848-CEF8-4CBB-93BA-01D1375EDF56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6D5C11C4-330B-4C1E-804D-7396944FA85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4817" y="4568757"/>
              <a:ext cx="1078149" cy="1819073"/>
              <a:chOff x="903513" y="4495523"/>
              <a:chExt cx="1122959" cy="1545362"/>
            </a:xfrm>
          </xdr:grpSpPr>
          <xdr:sp macro="" textlink="">
            <xdr:nvSpPr>
              <xdr:cNvPr id="10275" name="Check Box 35" hidden="1">
                <a:extLst>
                  <a:ext uri="{63B3BB69-23CF-44E3-9099-C40C66FF867C}">
                    <a14:compatExt spid="_x0000_s10275"/>
                  </a:ext>
                  <a:ext uri="{FF2B5EF4-FFF2-40B4-BE49-F238E27FC236}">
                    <a16:creationId xmlns:a16="http://schemas.microsoft.com/office/drawing/2014/main" id="{00000000-0008-0000-1F00-00002380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10276" name="Check Box 36" hidden="1">
                <a:extLst>
                  <a:ext uri="{63B3BB69-23CF-44E3-9099-C40C66FF867C}">
                    <a14:compatExt spid="_x0000_s10276"/>
                  </a:ext>
                  <a:ext uri="{FF2B5EF4-FFF2-40B4-BE49-F238E27FC236}">
                    <a16:creationId xmlns:a16="http://schemas.microsoft.com/office/drawing/2014/main" id="{00000000-0008-0000-1F00-00002480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10277" name="Check Box 37" hidden="1">
                <a:extLst>
                  <a:ext uri="{63B3BB69-23CF-44E3-9099-C40C66FF867C}">
                    <a14:compatExt spid="_x0000_s10277"/>
                  </a:ext>
                  <a:ext uri="{FF2B5EF4-FFF2-40B4-BE49-F238E27FC236}">
                    <a16:creationId xmlns:a16="http://schemas.microsoft.com/office/drawing/2014/main" id="{00000000-0008-0000-1F00-000025800000}"/>
                  </a:ext>
                </a:extLst>
              </xdr:cNvPr>
              <xdr:cNvSpPr/>
            </xdr:nvSpPr>
            <xdr:spPr bwMode="auto">
              <a:xfrm>
                <a:off x="903513" y="4495523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10278" name="Check Box 38" hidden="1">
                <a:extLst>
                  <a:ext uri="{63B3BB69-23CF-44E3-9099-C40C66FF867C}">
                    <a14:compatExt spid="_x0000_s10278"/>
                  </a:ext>
                  <a:ext uri="{FF2B5EF4-FFF2-40B4-BE49-F238E27FC236}">
                    <a16:creationId xmlns:a16="http://schemas.microsoft.com/office/drawing/2014/main" id="{00000000-0008-0000-1F00-0000268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10279" name="Check Box 39" hidden="1">
                <a:extLst>
                  <a:ext uri="{63B3BB69-23CF-44E3-9099-C40C66FF867C}">
                    <a14:compatExt spid="_x0000_s10279"/>
                  </a:ext>
                  <a:ext uri="{FF2B5EF4-FFF2-40B4-BE49-F238E27FC236}">
                    <a16:creationId xmlns:a16="http://schemas.microsoft.com/office/drawing/2014/main" id="{00000000-0008-0000-1F00-0000278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10280" name="Check Box 40" hidden="1">
                <a:extLst>
                  <a:ext uri="{63B3BB69-23CF-44E3-9099-C40C66FF867C}">
                    <a14:compatExt spid="_x0000_s10280"/>
                  </a:ext>
                  <a:ext uri="{FF2B5EF4-FFF2-40B4-BE49-F238E27FC236}">
                    <a16:creationId xmlns:a16="http://schemas.microsoft.com/office/drawing/2014/main" id="{00000000-0008-0000-1F00-000028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10281" name="Check Box 41" hidden="1">
                <a:extLst>
                  <a:ext uri="{63B3BB69-23CF-44E3-9099-C40C66FF867C}">
                    <a14:compatExt spid="_x0000_s10281"/>
                  </a:ext>
                  <a:ext uri="{FF2B5EF4-FFF2-40B4-BE49-F238E27FC236}">
                    <a16:creationId xmlns:a16="http://schemas.microsoft.com/office/drawing/2014/main" id="{00000000-0008-0000-1F00-00002980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10282" name="Check Box 42" hidden="1">
                <a:extLst>
                  <a:ext uri="{63B3BB69-23CF-44E3-9099-C40C66FF867C}">
                    <a14:compatExt spid="_x0000_s10282"/>
                  </a:ext>
                  <a:ext uri="{FF2B5EF4-FFF2-40B4-BE49-F238E27FC236}">
                    <a16:creationId xmlns:a16="http://schemas.microsoft.com/office/drawing/2014/main" id="{00000000-0008-0000-1F00-00002A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10283" name="Check Box 43" hidden="1">
                <a:extLst>
                  <a:ext uri="{63B3BB69-23CF-44E3-9099-C40C66FF867C}">
                    <a14:compatExt spid="_x0000_s10283"/>
                  </a:ext>
                  <a:ext uri="{FF2B5EF4-FFF2-40B4-BE49-F238E27FC236}">
                    <a16:creationId xmlns:a16="http://schemas.microsoft.com/office/drawing/2014/main" id="{00000000-0008-0000-1F00-00002B800000}"/>
                  </a:ext>
                </a:extLst>
              </xdr:cNvPr>
              <xdr:cNvSpPr/>
            </xdr:nvSpPr>
            <xdr:spPr bwMode="auto">
              <a:xfrm>
                <a:off x="903513" y="5932885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839FACD7-5A65-407F-8281-AE2D0EAF603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145" y="4568757"/>
              <a:ext cx="800910" cy="1819073"/>
              <a:chOff x="1676400" y="4286246"/>
              <a:chExt cx="800100" cy="1514493"/>
            </a:xfrm>
          </xdr:grpSpPr>
          <xdr:sp macro="" textlink="">
            <xdr:nvSpPr>
              <xdr:cNvPr id="10284" name="Check Box 44" hidden="1">
                <a:extLst>
                  <a:ext uri="{63B3BB69-23CF-44E3-9099-C40C66FF867C}">
                    <a14:compatExt spid="_x0000_s10284"/>
                  </a:ext>
                  <a:ext uri="{FF2B5EF4-FFF2-40B4-BE49-F238E27FC236}">
                    <a16:creationId xmlns:a16="http://schemas.microsoft.com/office/drawing/2014/main" id="{00000000-0008-0000-1F00-00002C80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10285" name="Check Box 45" hidden="1">
                <a:extLst>
                  <a:ext uri="{63B3BB69-23CF-44E3-9099-C40C66FF867C}">
                    <a14:compatExt spid="_x0000_s10285"/>
                  </a:ext>
                  <a:ext uri="{FF2B5EF4-FFF2-40B4-BE49-F238E27FC236}">
                    <a16:creationId xmlns:a16="http://schemas.microsoft.com/office/drawing/2014/main" id="{00000000-0008-0000-1F00-00002D80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10286" name="Check Box 46" descr="추락" hidden="1">
                <a:extLst>
                  <a:ext uri="{63B3BB69-23CF-44E3-9099-C40C66FF867C}">
                    <a14:compatExt spid="_x0000_s10286"/>
                  </a:ext>
                  <a:ext uri="{FF2B5EF4-FFF2-40B4-BE49-F238E27FC236}">
                    <a16:creationId xmlns:a16="http://schemas.microsoft.com/office/drawing/2014/main" id="{00000000-0008-0000-1F00-00002E800000}"/>
                  </a:ext>
                </a:extLst>
              </xdr:cNvPr>
              <xdr:cNvSpPr/>
            </xdr:nvSpPr>
            <xdr:spPr bwMode="auto">
              <a:xfrm>
                <a:off x="1676400" y="4286246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10287" name="Check Box 47" hidden="1">
                <a:extLst>
                  <a:ext uri="{63B3BB69-23CF-44E3-9099-C40C66FF867C}">
                    <a14:compatExt spid="_x0000_s10287"/>
                  </a:ext>
                  <a:ext uri="{FF2B5EF4-FFF2-40B4-BE49-F238E27FC236}">
                    <a16:creationId xmlns:a16="http://schemas.microsoft.com/office/drawing/2014/main" id="{00000000-0008-0000-1F00-00002F80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10288" name="Check Box 48" hidden="1">
                <a:extLst>
                  <a:ext uri="{63B3BB69-23CF-44E3-9099-C40C66FF867C}">
                    <a14:compatExt spid="_x0000_s10288"/>
                  </a:ext>
                  <a:ext uri="{FF2B5EF4-FFF2-40B4-BE49-F238E27FC236}">
                    <a16:creationId xmlns:a16="http://schemas.microsoft.com/office/drawing/2014/main" id="{00000000-0008-0000-1F00-00003080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10289" name="Check Box 49" hidden="1">
                <a:extLst>
                  <a:ext uri="{63B3BB69-23CF-44E3-9099-C40C66FF867C}">
                    <a14:compatExt spid="_x0000_s10289"/>
                  </a:ext>
                  <a:ext uri="{FF2B5EF4-FFF2-40B4-BE49-F238E27FC236}">
                    <a16:creationId xmlns:a16="http://schemas.microsoft.com/office/drawing/2014/main" id="{00000000-0008-0000-1F00-00003180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10290" name="Check Box 50" hidden="1">
                <a:extLst>
                  <a:ext uri="{63B3BB69-23CF-44E3-9099-C40C66FF867C}">
                    <a14:compatExt spid="_x0000_s10290"/>
                  </a:ext>
                  <a:ext uri="{FF2B5EF4-FFF2-40B4-BE49-F238E27FC236}">
                    <a16:creationId xmlns:a16="http://schemas.microsoft.com/office/drawing/2014/main" id="{00000000-0008-0000-1F00-00003280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10291" name="Check Box 51" hidden="1">
                <a:extLst>
                  <a:ext uri="{63B3BB69-23CF-44E3-9099-C40C66FF867C}">
                    <a14:compatExt spid="_x0000_s10291"/>
                  </a:ext>
                  <a:ext uri="{FF2B5EF4-FFF2-40B4-BE49-F238E27FC236}">
                    <a16:creationId xmlns:a16="http://schemas.microsoft.com/office/drawing/2014/main" id="{00000000-0008-0000-1F00-00003380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10292" name="Check Box 52" hidden="1">
                <a:extLst>
                  <a:ext uri="{63B3BB69-23CF-44E3-9099-C40C66FF867C}">
                    <a14:compatExt spid="_x0000_s10292"/>
                  </a:ext>
                  <a:ext uri="{FF2B5EF4-FFF2-40B4-BE49-F238E27FC236}">
                    <a16:creationId xmlns:a16="http://schemas.microsoft.com/office/drawing/2014/main" id="{00000000-0008-0000-1F00-000034800000}"/>
                  </a:ext>
                </a:extLst>
              </xdr:cNvPr>
              <xdr:cNvSpPr/>
            </xdr:nvSpPr>
            <xdr:spPr bwMode="auto">
              <a:xfrm>
                <a:off x="1676400" y="5694897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A09CEE1E-90BE-4B29-AECD-11DFB338C5B5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ADF65629-45E1-4AB5-9DCE-0B03C918A5C8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59B37414-2950-40E1-8D8C-5002228E5FBB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680DD91A-31CB-4BD9-9CA8-DE3088D450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1F4D0DDC-DA4B-4E7A-835D-213ED4796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12D49D25-1E52-4828-B0D1-2434CBFCF9C6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90333D12-4E63-47CE-8697-FC94BAAAB138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D4B6CE97-BEBD-49FB-B38C-FEFF24FE3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8F9BF524-4AA6-42BE-8FB2-5918042D5EFA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5449957"/>
              <a:ext cx="1087507" cy="1478031"/>
              <a:chOff x="1883093" y="4572945"/>
              <a:chExt cx="969630" cy="1683077"/>
            </a:xfrm>
          </xdr:grpSpPr>
          <xdr:sp macro="" textlink="">
            <xdr:nvSpPr>
              <xdr:cNvPr id="9217" name="Check Box 1" hidden="1">
                <a:extLst>
                  <a:ext uri="{63B3BB69-23CF-44E3-9099-C40C66FF867C}">
                    <a14:compatExt spid="_x0000_s9217"/>
                  </a:ext>
                  <a:ext uri="{FF2B5EF4-FFF2-40B4-BE49-F238E27FC236}">
                    <a16:creationId xmlns:a16="http://schemas.microsoft.com/office/drawing/2014/main" id="{00000000-0008-0000-1F00-00000180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9218" name="Check Box 2" hidden="1">
                <a:extLst>
                  <a:ext uri="{63B3BB69-23CF-44E3-9099-C40C66FF867C}">
                    <a14:compatExt spid="_x0000_s9218"/>
                  </a:ext>
                  <a:ext uri="{FF2B5EF4-FFF2-40B4-BE49-F238E27FC236}">
                    <a16:creationId xmlns:a16="http://schemas.microsoft.com/office/drawing/2014/main" id="{00000000-0008-0000-1F00-00000280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9219" name="Check Box 3" hidden="1">
                <a:extLst>
                  <a:ext uri="{63B3BB69-23CF-44E3-9099-C40C66FF867C}">
                    <a14:compatExt spid="_x0000_s9219"/>
                  </a:ext>
                  <a:ext uri="{FF2B5EF4-FFF2-40B4-BE49-F238E27FC236}">
                    <a16:creationId xmlns:a16="http://schemas.microsoft.com/office/drawing/2014/main" id="{00000000-0008-0000-1F00-000003800000}"/>
                  </a:ext>
                </a:extLst>
              </xdr:cNvPr>
              <xdr:cNvSpPr/>
            </xdr:nvSpPr>
            <xdr:spPr bwMode="auto">
              <a:xfrm>
                <a:off x="1883093" y="516849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9220" name="Check Box 4" hidden="1">
                <a:extLst>
                  <a:ext uri="{63B3BB69-23CF-44E3-9099-C40C66FF867C}">
                    <a14:compatExt spid="_x0000_s9220"/>
                  </a:ext>
                  <a:ext uri="{FF2B5EF4-FFF2-40B4-BE49-F238E27FC236}">
                    <a16:creationId xmlns:a16="http://schemas.microsoft.com/office/drawing/2014/main" id="{00000000-0008-0000-1F00-00000480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9221" name="Check Box 5" hidden="1">
                <a:extLst>
                  <a:ext uri="{63B3BB69-23CF-44E3-9099-C40C66FF867C}">
                    <a14:compatExt spid="_x0000_s9221"/>
                  </a:ext>
                  <a:ext uri="{FF2B5EF4-FFF2-40B4-BE49-F238E27FC236}">
                    <a16:creationId xmlns:a16="http://schemas.microsoft.com/office/drawing/2014/main" id="{00000000-0008-0000-1F00-00000580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9222" name="Check Box 6" hidden="1">
                <a:extLst>
                  <a:ext uri="{63B3BB69-23CF-44E3-9099-C40C66FF867C}">
                    <a14:compatExt spid="_x0000_s9222"/>
                  </a:ext>
                  <a:ext uri="{FF2B5EF4-FFF2-40B4-BE49-F238E27FC236}">
                    <a16:creationId xmlns:a16="http://schemas.microsoft.com/office/drawing/2014/main" id="{00000000-0008-0000-1F00-000006800000}"/>
                  </a:ext>
                </a:extLst>
              </xdr:cNvPr>
              <xdr:cNvSpPr/>
            </xdr:nvSpPr>
            <xdr:spPr bwMode="auto">
              <a:xfrm>
                <a:off x="1883093" y="576404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9223" name="Check Box 7" hidden="1">
                <a:extLst>
                  <a:ext uri="{63B3BB69-23CF-44E3-9099-C40C66FF867C}">
                    <a14:compatExt spid="_x0000_s9223"/>
                  </a:ext>
                  <a:ext uri="{FF2B5EF4-FFF2-40B4-BE49-F238E27FC236}">
                    <a16:creationId xmlns:a16="http://schemas.microsoft.com/office/drawing/2014/main" id="{00000000-0008-0000-1F00-00000780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9224" name="Check Box 8" hidden="1">
                <a:extLst>
                  <a:ext uri="{63B3BB69-23CF-44E3-9099-C40C66FF867C}">
                    <a14:compatExt spid="_x0000_s9224"/>
                  </a:ext>
                  <a:ext uri="{FF2B5EF4-FFF2-40B4-BE49-F238E27FC236}">
                    <a16:creationId xmlns:a16="http://schemas.microsoft.com/office/drawing/2014/main" id="{00000000-0008-0000-1F00-000008800000}"/>
                  </a:ext>
                </a:extLst>
              </xdr:cNvPr>
              <xdr:cNvSpPr/>
            </xdr:nvSpPr>
            <xdr:spPr bwMode="auto">
              <a:xfrm>
                <a:off x="1883093" y="5962563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B86137FB-D2F4-446E-B66F-5D2683F2754A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5742747"/>
              <a:ext cx="1758812" cy="461755"/>
              <a:chOff x="3535676" y="4572045"/>
              <a:chExt cx="1554480" cy="449553"/>
            </a:xfrm>
          </xdr:grpSpPr>
          <xdr:sp macro="" textlink="">
            <xdr:nvSpPr>
              <xdr:cNvPr id="9225" name="Check Box 9" hidden="1">
                <a:extLst>
                  <a:ext uri="{63B3BB69-23CF-44E3-9099-C40C66FF867C}">
                    <a14:compatExt spid="_x0000_s9225"/>
                  </a:ext>
                  <a:ext uri="{FF2B5EF4-FFF2-40B4-BE49-F238E27FC236}">
                    <a16:creationId xmlns:a16="http://schemas.microsoft.com/office/drawing/2014/main" id="{00000000-0008-0000-1F00-000009800000}"/>
                  </a:ext>
                </a:extLst>
              </xdr:cNvPr>
              <xdr:cNvSpPr/>
            </xdr:nvSpPr>
            <xdr:spPr bwMode="auto">
              <a:xfrm>
                <a:off x="3535680" y="4572045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9226" name="Check Box 10" hidden="1">
                <a:extLst>
                  <a:ext uri="{63B3BB69-23CF-44E3-9099-C40C66FF867C}">
                    <a14:compatExt spid="_x0000_s9226"/>
                  </a:ext>
                  <a:ext uri="{FF2B5EF4-FFF2-40B4-BE49-F238E27FC236}">
                    <a16:creationId xmlns:a16="http://schemas.microsoft.com/office/drawing/2014/main" id="{00000000-0008-0000-1F00-00000A800000}"/>
                  </a:ext>
                </a:extLst>
              </xdr:cNvPr>
              <xdr:cNvSpPr/>
            </xdr:nvSpPr>
            <xdr:spPr bwMode="auto">
              <a:xfrm>
                <a:off x="3535676" y="4747278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A5DE9083-00B6-4209-8247-DCAE1E169DC3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1349" y="5930762"/>
              <a:ext cx="781878" cy="725971"/>
              <a:chOff x="5394960" y="4838701"/>
              <a:chExt cx="568701" cy="722503"/>
            </a:xfrm>
          </xdr:grpSpPr>
          <xdr:sp macro="" textlink="">
            <xdr:nvSpPr>
              <xdr:cNvPr id="9227" name="Check Box 11" hidden="1">
                <a:extLst>
                  <a:ext uri="{63B3BB69-23CF-44E3-9099-C40C66FF867C}">
                    <a14:compatExt spid="_x0000_s9227"/>
                  </a:ext>
                  <a:ext uri="{FF2B5EF4-FFF2-40B4-BE49-F238E27FC236}">
                    <a16:creationId xmlns:a16="http://schemas.microsoft.com/office/drawing/2014/main" id="{00000000-0008-0000-1F00-00000B800000}"/>
                  </a:ext>
                </a:extLst>
              </xdr:cNvPr>
              <xdr:cNvSpPr/>
            </xdr:nvSpPr>
            <xdr:spPr bwMode="auto">
              <a:xfrm>
                <a:off x="5394960" y="4838701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9228" name="Check Box 12" hidden="1">
                <a:extLst>
                  <a:ext uri="{63B3BB69-23CF-44E3-9099-C40C66FF867C}">
                    <a14:compatExt spid="_x0000_s9228"/>
                  </a:ext>
                  <a:ext uri="{FF2B5EF4-FFF2-40B4-BE49-F238E27FC236}">
                    <a16:creationId xmlns:a16="http://schemas.microsoft.com/office/drawing/2014/main" id="{00000000-0008-0000-1F00-00000C80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9229" name="Check Box 13" hidden="1">
                <a:extLst>
                  <a:ext uri="{63B3BB69-23CF-44E3-9099-C40C66FF867C}">
                    <a14:compatExt spid="_x0000_s9229"/>
                  </a:ext>
                  <a:ext uri="{FF2B5EF4-FFF2-40B4-BE49-F238E27FC236}">
                    <a16:creationId xmlns:a16="http://schemas.microsoft.com/office/drawing/2014/main" id="{00000000-0008-0000-1F00-00000D80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9230" name="Check Box 14" hidden="1">
                <a:extLst>
                  <a:ext uri="{63B3BB69-23CF-44E3-9099-C40C66FF867C}">
                    <a14:compatExt spid="_x0000_s9230"/>
                  </a:ext>
                  <a:ext uri="{FF2B5EF4-FFF2-40B4-BE49-F238E27FC236}">
                    <a16:creationId xmlns:a16="http://schemas.microsoft.com/office/drawing/2014/main" id="{00000000-0008-0000-1F00-00000E800000}"/>
                  </a:ext>
                </a:extLst>
              </xdr:cNvPr>
              <xdr:cNvSpPr/>
            </xdr:nvSpPr>
            <xdr:spPr bwMode="auto">
              <a:xfrm>
                <a:off x="5394960" y="5417808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E64C6EF5-D908-4DEA-8C07-E67131A5BB5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12221" y="3708538"/>
              <a:ext cx="1473062" cy="1496253"/>
              <a:chOff x="903513" y="4495527"/>
              <a:chExt cx="1122959" cy="1545361"/>
            </a:xfrm>
          </xdr:grpSpPr>
          <xdr:sp macro="" textlink="">
            <xdr:nvSpPr>
              <xdr:cNvPr id="9231" name="Check Box 15" hidden="1">
                <a:extLst>
                  <a:ext uri="{63B3BB69-23CF-44E3-9099-C40C66FF867C}">
                    <a14:compatExt spid="_x0000_s9231"/>
                  </a:ext>
                  <a:ext uri="{FF2B5EF4-FFF2-40B4-BE49-F238E27FC236}">
                    <a16:creationId xmlns:a16="http://schemas.microsoft.com/office/drawing/2014/main" id="{00000000-0008-0000-1F00-00000F80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9232" name="Check Box 16" hidden="1">
                <a:extLst>
                  <a:ext uri="{63B3BB69-23CF-44E3-9099-C40C66FF867C}">
                    <a14:compatExt spid="_x0000_s9232"/>
                  </a:ext>
                  <a:ext uri="{FF2B5EF4-FFF2-40B4-BE49-F238E27FC236}">
                    <a16:creationId xmlns:a16="http://schemas.microsoft.com/office/drawing/2014/main" id="{00000000-0008-0000-1F00-00001080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9233" name="Check Box 17" hidden="1">
                <a:extLst>
                  <a:ext uri="{63B3BB69-23CF-44E3-9099-C40C66FF867C}">
                    <a14:compatExt spid="_x0000_s9233"/>
                  </a:ext>
                  <a:ext uri="{FF2B5EF4-FFF2-40B4-BE49-F238E27FC236}">
                    <a16:creationId xmlns:a16="http://schemas.microsoft.com/office/drawing/2014/main" id="{00000000-0008-0000-1F00-000011800000}"/>
                  </a:ext>
                </a:extLst>
              </xdr:cNvPr>
              <xdr:cNvSpPr/>
            </xdr:nvSpPr>
            <xdr:spPr bwMode="auto">
              <a:xfrm>
                <a:off x="903513" y="4495527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9234" name="Check Box 18" hidden="1">
                <a:extLst>
                  <a:ext uri="{63B3BB69-23CF-44E3-9099-C40C66FF867C}">
                    <a14:compatExt spid="_x0000_s9234"/>
                  </a:ext>
                  <a:ext uri="{FF2B5EF4-FFF2-40B4-BE49-F238E27FC236}">
                    <a16:creationId xmlns:a16="http://schemas.microsoft.com/office/drawing/2014/main" id="{00000000-0008-0000-1F00-0000128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9235" name="Check Box 19" hidden="1">
                <a:extLst>
                  <a:ext uri="{63B3BB69-23CF-44E3-9099-C40C66FF867C}">
                    <a14:compatExt spid="_x0000_s9235"/>
                  </a:ext>
                  <a:ext uri="{FF2B5EF4-FFF2-40B4-BE49-F238E27FC236}">
                    <a16:creationId xmlns:a16="http://schemas.microsoft.com/office/drawing/2014/main" id="{00000000-0008-0000-1F00-00001380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9236" name="Check Box 20" hidden="1">
                <a:extLst>
                  <a:ext uri="{63B3BB69-23CF-44E3-9099-C40C66FF867C}">
                    <a14:compatExt spid="_x0000_s9236"/>
                  </a:ext>
                  <a:ext uri="{FF2B5EF4-FFF2-40B4-BE49-F238E27FC236}">
                    <a16:creationId xmlns:a16="http://schemas.microsoft.com/office/drawing/2014/main" id="{00000000-0008-0000-1F00-000014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9237" name="Check Box 21" hidden="1">
                <a:extLst>
                  <a:ext uri="{63B3BB69-23CF-44E3-9099-C40C66FF867C}">
                    <a14:compatExt spid="_x0000_s9237"/>
                  </a:ext>
                  <a:ext uri="{FF2B5EF4-FFF2-40B4-BE49-F238E27FC236}">
                    <a16:creationId xmlns:a16="http://schemas.microsoft.com/office/drawing/2014/main" id="{00000000-0008-0000-1F00-00001580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9238" name="Check Box 22" hidden="1">
                <a:extLst>
                  <a:ext uri="{63B3BB69-23CF-44E3-9099-C40C66FF867C}">
                    <a14:compatExt spid="_x0000_s9238"/>
                  </a:ext>
                  <a:ext uri="{FF2B5EF4-FFF2-40B4-BE49-F238E27FC236}">
                    <a16:creationId xmlns:a16="http://schemas.microsoft.com/office/drawing/2014/main" id="{00000000-0008-0000-1F00-000016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9239" name="Check Box 23" hidden="1">
                <a:extLst>
                  <a:ext uri="{63B3BB69-23CF-44E3-9099-C40C66FF867C}">
                    <a14:compatExt spid="_x0000_s9239"/>
                  </a:ext>
                  <a:ext uri="{FF2B5EF4-FFF2-40B4-BE49-F238E27FC236}">
                    <a16:creationId xmlns:a16="http://schemas.microsoft.com/office/drawing/2014/main" id="{00000000-0008-0000-1F00-000017800000}"/>
                  </a:ext>
                </a:extLst>
              </xdr:cNvPr>
              <xdr:cNvSpPr/>
            </xdr:nvSpPr>
            <xdr:spPr bwMode="auto">
              <a:xfrm>
                <a:off x="903513" y="5855054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FA889BB5-44E7-4DD3-AEBA-26B223D88ED3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7896" y="6297267"/>
              <a:ext cx="1758812" cy="378516"/>
              <a:chOff x="3535676" y="4533511"/>
              <a:chExt cx="1554480" cy="513814"/>
            </a:xfrm>
          </xdr:grpSpPr>
          <xdr:sp macro="" textlink="">
            <xdr:nvSpPr>
              <xdr:cNvPr id="9240" name="Check Box 24" hidden="1">
                <a:extLst>
                  <a:ext uri="{63B3BB69-23CF-44E3-9099-C40C66FF867C}">
                    <a14:compatExt spid="_x0000_s9240"/>
                  </a:ext>
                  <a:ext uri="{FF2B5EF4-FFF2-40B4-BE49-F238E27FC236}">
                    <a16:creationId xmlns:a16="http://schemas.microsoft.com/office/drawing/2014/main" id="{00000000-0008-0000-1F00-000018800000}"/>
                  </a:ext>
                </a:extLst>
              </xdr:cNvPr>
              <xdr:cNvSpPr/>
            </xdr:nvSpPr>
            <xdr:spPr bwMode="auto">
              <a:xfrm>
                <a:off x="3535680" y="4533511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9241" name="Check Box 25" hidden="1">
                <a:extLst>
                  <a:ext uri="{63B3BB69-23CF-44E3-9099-C40C66FF867C}">
                    <a14:compatExt spid="_x0000_s9241"/>
                  </a:ext>
                  <a:ext uri="{FF2B5EF4-FFF2-40B4-BE49-F238E27FC236}">
                    <a16:creationId xmlns:a16="http://schemas.microsoft.com/office/drawing/2014/main" id="{00000000-0008-0000-1F00-000019800000}"/>
                  </a:ext>
                </a:extLst>
              </xdr:cNvPr>
              <xdr:cNvSpPr/>
            </xdr:nvSpPr>
            <xdr:spPr bwMode="auto">
              <a:xfrm>
                <a:off x="3535676" y="4773005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E2BAA36F-3C7A-480F-B679-DC6D2CF2A02E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0826" y="3708538"/>
              <a:ext cx="1347995" cy="1486728"/>
              <a:chOff x="903513" y="4495534"/>
              <a:chExt cx="1122959" cy="1535575"/>
            </a:xfrm>
          </xdr:grpSpPr>
          <xdr:sp macro="" textlink="">
            <xdr:nvSpPr>
              <xdr:cNvPr id="9242" name="Check Box 26" hidden="1">
                <a:extLst>
                  <a:ext uri="{63B3BB69-23CF-44E3-9099-C40C66FF867C}">
                    <a14:compatExt spid="_x0000_s9242"/>
                  </a:ext>
                  <a:ext uri="{FF2B5EF4-FFF2-40B4-BE49-F238E27FC236}">
                    <a16:creationId xmlns:a16="http://schemas.microsoft.com/office/drawing/2014/main" id="{00000000-0008-0000-1F00-00001A80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9243" name="Check Box 27" hidden="1">
                <a:extLst>
                  <a:ext uri="{63B3BB69-23CF-44E3-9099-C40C66FF867C}">
                    <a14:compatExt spid="_x0000_s9243"/>
                  </a:ext>
                  <a:ext uri="{FF2B5EF4-FFF2-40B4-BE49-F238E27FC236}">
                    <a16:creationId xmlns:a16="http://schemas.microsoft.com/office/drawing/2014/main" id="{00000000-0008-0000-1F00-00001B80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9244" name="Check Box 28" hidden="1">
                <a:extLst>
                  <a:ext uri="{63B3BB69-23CF-44E3-9099-C40C66FF867C}">
                    <a14:compatExt spid="_x0000_s9244"/>
                  </a:ext>
                  <a:ext uri="{FF2B5EF4-FFF2-40B4-BE49-F238E27FC236}">
                    <a16:creationId xmlns:a16="http://schemas.microsoft.com/office/drawing/2014/main" id="{00000000-0008-0000-1F00-00001C800000}"/>
                  </a:ext>
                </a:extLst>
              </xdr:cNvPr>
              <xdr:cNvSpPr/>
            </xdr:nvSpPr>
            <xdr:spPr bwMode="auto">
              <a:xfrm>
                <a:off x="903513" y="4495534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9245" name="Check Box 29" hidden="1">
                <a:extLst>
                  <a:ext uri="{63B3BB69-23CF-44E3-9099-C40C66FF867C}">
                    <a14:compatExt spid="_x0000_s9245"/>
                  </a:ext>
                  <a:ext uri="{FF2B5EF4-FFF2-40B4-BE49-F238E27FC236}">
                    <a16:creationId xmlns:a16="http://schemas.microsoft.com/office/drawing/2014/main" id="{00000000-0008-0000-1F00-00001D80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9246" name="Check Box 30" hidden="1">
                <a:extLst>
                  <a:ext uri="{63B3BB69-23CF-44E3-9099-C40C66FF867C}">
                    <a14:compatExt spid="_x0000_s9246"/>
                  </a:ext>
                  <a:ext uri="{FF2B5EF4-FFF2-40B4-BE49-F238E27FC236}">
                    <a16:creationId xmlns:a16="http://schemas.microsoft.com/office/drawing/2014/main" id="{00000000-0008-0000-1F00-00001E8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9247" name="Check Box 31" hidden="1">
                <a:extLst>
                  <a:ext uri="{63B3BB69-23CF-44E3-9099-C40C66FF867C}">
                    <a14:compatExt spid="_x0000_s9247"/>
                  </a:ext>
                  <a:ext uri="{FF2B5EF4-FFF2-40B4-BE49-F238E27FC236}">
                    <a16:creationId xmlns:a16="http://schemas.microsoft.com/office/drawing/2014/main" id="{00000000-0008-0000-1F00-00001F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9248" name="Check Box 32" hidden="1">
                <a:extLst>
                  <a:ext uri="{63B3BB69-23CF-44E3-9099-C40C66FF867C}">
                    <a14:compatExt spid="_x0000_s9248"/>
                  </a:ext>
                  <a:ext uri="{FF2B5EF4-FFF2-40B4-BE49-F238E27FC236}">
                    <a16:creationId xmlns:a16="http://schemas.microsoft.com/office/drawing/2014/main" id="{00000000-0008-0000-1F00-00002080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9249" name="Check Box 33" hidden="1">
                <a:extLst>
                  <a:ext uri="{63B3BB69-23CF-44E3-9099-C40C66FF867C}">
                    <a14:compatExt spid="_x0000_s9249"/>
                  </a:ext>
                  <a:ext uri="{FF2B5EF4-FFF2-40B4-BE49-F238E27FC236}">
                    <a16:creationId xmlns:a16="http://schemas.microsoft.com/office/drawing/2014/main" id="{00000000-0008-0000-1F00-000021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9250" name="Check Box 34" hidden="1">
                <a:extLst>
                  <a:ext uri="{63B3BB69-23CF-44E3-9099-C40C66FF867C}">
                    <a14:compatExt spid="_x0000_s9250"/>
                  </a:ext>
                  <a:ext uri="{FF2B5EF4-FFF2-40B4-BE49-F238E27FC236}">
                    <a16:creationId xmlns:a16="http://schemas.microsoft.com/office/drawing/2014/main" id="{00000000-0008-0000-1F00-000022800000}"/>
                  </a:ext>
                </a:extLst>
              </xdr:cNvPr>
              <xdr:cNvSpPr/>
            </xdr:nvSpPr>
            <xdr:spPr bwMode="auto">
              <a:xfrm>
                <a:off x="903513" y="5903547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106A8EEE-0607-4283-A54A-0219BF0B73EF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324F3047-C97C-461E-82B2-6DD64F10D43C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C73AAC87-FEA9-4C42-8F58-296D500B4D82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1A124B24-5426-4993-B8EF-F97F301CF554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2D9CAEDA-819B-47E4-82E4-67F6A49F01E6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2D00AB69-CC17-49FB-AAC9-D633FC83D416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89191FE4-072F-4C38-AFF2-126008C60085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BCAE790E-F64E-4655-96E8-C0CA5FB96D40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2816B422-C290-4845-B8E9-8650172A327B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29A16551-0D43-43BC-8DD0-FDDD32E018A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5425" y="4570343"/>
              <a:ext cx="1076325" cy="1803124"/>
              <a:chOff x="903513" y="4495523"/>
              <a:chExt cx="1122959" cy="1545362"/>
            </a:xfrm>
          </xdr:grpSpPr>
          <xdr:sp macro="" textlink="">
            <xdr:nvSpPr>
              <xdr:cNvPr id="9251" name="Check Box 35" hidden="1">
                <a:extLst>
                  <a:ext uri="{63B3BB69-23CF-44E3-9099-C40C66FF867C}">
                    <a14:compatExt spid="_x0000_s9251"/>
                  </a:ext>
                  <a:ext uri="{FF2B5EF4-FFF2-40B4-BE49-F238E27FC236}">
                    <a16:creationId xmlns:a16="http://schemas.microsoft.com/office/drawing/2014/main" id="{00000000-0008-0000-1F00-00002380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9252" name="Check Box 36" hidden="1">
                <a:extLst>
                  <a:ext uri="{63B3BB69-23CF-44E3-9099-C40C66FF867C}">
                    <a14:compatExt spid="_x0000_s9252"/>
                  </a:ext>
                  <a:ext uri="{FF2B5EF4-FFF2-40B4-BE49-F238E27FC236}">
                    <a16:creationId xmlns:a16="http://schemas.microsoft.com/office/drawing/2014/main" id="{00000000-0008-0000-1F00-00002480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9253" name="Check Box 37" hidden="1">
                <a:extLst>
                  <a:ext uri="{63B3BB69-23CF-44E3-9099-C40C66FF867C}">
                    <a14:compatExt spid="_x0000_s9253"/>
                  </a:ext>
                  <a:ext uri="{FF2B5EF4-FFF2-40B4-BE49-F238E27FC236}">
                    <a16:creationId xmlns:a16="http://schemas.microsoft.com/office/drawing/2014/main" id="{00000000-0008-0000-1F00-000025800000}"/>
                  </a:ext>
                </a:extLst>
              </xdr:cNvPr>
              <xdr:cNvSpPr/>
            </xdr:nvSpPr>
            <xdr:spPr bwMode="auto">
              <a:xfrm>
                <a:off x="903513" y="4495523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9254" name="Check Box 38" hidden="1">
                <a:extLst>
                  <a:ext uri="{63B3BB69-23CF-44E3-9099-C40C66FF867C}">
                    <a14:compatExt spid="_x0000_s9254"/>
                  </a:ext>
                  <a:ext uri="{FF2B5EF4-FFF2-40B4-BE49-F238E27FC236}">
                    <a16:creationId xmlns:a16="http://schemas.microsoft.com/office/drawing/2014/main" id="{00000000-0008-0000-1F00-0000268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9255" name="Check Box 39" hidden="1">
                <a:extLst>
                  <a:ext uri="{63B3BB69-23CF-44E3-9099-C40C66FF867C}">
                    <a14:compatExt spid="_x0000_s9255"/>
                  </a:ext>
                  <a:ext uri="{FF2B5EF4-FFF2-40B4-BE49-F238E27FC236}">
                    <a16:creationId xmlns:a16="http://schemas.microsoft.com/office/drawing/2014/main" id="{00000000-0008-0000-1F00-0000278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9256" name="Check Box 40" hidden="1">
                <a:extLst>
                  <a:ext uri="{63B3BB69-23CF-44E3-9099-C40C66FF867C}">
                    <a14:compatExt spid="_x0000_s9256"/>
                  </a:ext>
                  <a:ext uri="{FF2B5EF4-FFF2-40B4-BE49-F238E27FC236}">
                    <a16:creationId xmlns:a16="http://schemas.microsoft.com/office/drawing/2014/main" id="{00000000-0008-0000-1F00-000028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9257" name="Check Box 41" hidden="1">
                <a:extLst>
                  <a:ext uri="{63B3BB69-23CF-44E3-9099-C40C66FF867C}">
                    <a14:compatExt spid="_x0000_s9257"/>
                  </a:ext>
                  <a:ext uri="{FF2B5EF4-FFF2-40B4-BE49-F238E27FC236}">
                    <a16:creationId xmlns:a16="http://schemas.microsoft.com/office/drawing/2014/main" id="{00000000-0008-0000-1F00-00002980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9258" name="Check Box 42" hidden="1">
                <a:extLst>
                  <a:ext uri="{63B3BB69-23CF-44E3-9099-C40C66FF867C}">
                    <a14:compatExt spid="_x0000_s9258"/>
                  </a:ext>
                  <a:ext uri="{FF2B5EF4-FFF2-40B4-BE49-F238E27FC236}">
                    <a16:creationId xmlns:a16="http://schemas.microsoft.com/office/drawing/2014/main" id="{00000000-0008-0000-1F00-00002A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9259" name="Check Box 43" hidden="1">
                <a:extLst>
                  <a:ext uri="{63B3BB69-23CF-44E3-9099-C40C66FF867C}">
                    <a14:compatExt spid="_x0000_s9259"/>
                  </a:ext>
                  <a:ext uri="{FF2B5EF4-FFF2-40B4-BE49-F238E27FC236}">
                    <a16:creationId xmlns:a16="http://schemas.microsoft.com/office/drawing/2014/main" id="{00000000-0008-0000-1F00-00002B800000}"/>
                  </a:ext>
                </a:extLst>
              </xdr:cNvPr>
              <xdr:cNvSpPr/>
            </xdr:nvSpPr>
            <xdr:spPr bwMode="auto">
              <a:xfrm>
                <a:off x="903513" y="5932885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52FF5806-8971-4242-9531-AC93EBED127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550" y="4570343"/>
              <a:ext cx="800100" cy="1803124"/>
              <a:chOff x="1676400" y="4286246"/>
              <a:chExt cx="800100" cy="1514493"/>
            </a:xfrm>
          </xdr:grpSpPr>
          <xdr:sp macro="" textlink="">
            <xdr:nvSpPr>
              <xdr:cNvPr id="9260" name="Check Box 44" hidden="1">
                <a:extLst>
                  <a:ext uri="{63B3BB69-23CF-44E3-9099-C40C66FF867C}">
                    <a14:compatExt spid="_x0000_s9260"/>
                  </a:ext>
                  <a:ext uri="{FF2B5EF4-FFF2-40B4-BE49-F238E27FC236}">
                    <a16:creationId xmlns:a16="http://schemas.microsoft.com/office/drawing/2014/main" id="{00000000-0008-0000-1F00-00002C80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9261" name="Check Box 45" hidden="1">
                <a:extLst>
                  <a:ext uri="{63B3BB69-23CF-44E3-9099-C40C66FF867C}">
                    <a14:compatExt spid="_x0000_s9261"/>
                  </a:ext>
                  <a:ext uri="{FF2B5EF4-FFF2-40B4-BE49-F238E27FC236}">
                    <a16:creationId xmlns:a16="http://schemas.microsoft.com/office/drawing/2014/main" id="{00000000-0008-0000-1F00-00002D80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9262" name="Check Box 46" descr="추락" hidden="1">
                <a:extLst>
                  <a:ext uri="{63B3BB69-23CF-44E3-9099-C40C66FF867C}">
                    <a14:compatExt spid="_x0000_s9262"/>
                  </a:ext>
                  <a:ext uri="{FF2B5EF4-FFF2-40B4-BE49-F238E27FC236}">
                    <a16:creationId xmlns:a16="http://schemas.microsoft.com/office/drawing/2014/main" id="{00000000-0008-0000-1F00-00002E800000}"/>
                  </a:ext>
                </a:extLst>
              </xdr:cNvPr>
              <xdr:cNvSpPr/>
            </xdr:nvSpPr>
            <xdr:spPr bwMode="auto">
              <a:xfrm>
                <a:off x="1676400" y="4286246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9263" name="Check Box 47" hidden="1">
                <a:extLst>
                  <a:ext uri="{63B3BB69-23CF-44E3-9099-C40C66FF867C}">
                    <a14:compatExt spid="_x0000_s9263"/>
                  </a:ext>
                  <a:ext uri="{FF2B5EF4-FFF2-40B4-BE49-F238E27FC236}">
                    <a16:creationId xmlns:a16="http://schemas.microsoft.com/office/drawing/2014/main" id="{00000000-0008-0000-1F00-00002F80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9264" name="Check Box 48" hidden="1">
                <a:extLst>
                  <a:ext uri="{63B3BB69-23CF-44E3-9099-C40C66FF867C}">
                    <a14:compatExt spid="_x0000_s9264"/>
                  </a:ext>
                  <a:ext uri="{FF2B5EF4-FFF2-40B4-BE49-F238E27FC236}">
                    <a16:creationId xmlns:a16="http://schemas.microsoft.com/office/drawing/2014/main" id="{00000000-0008-0000-1F00-00003080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9265" name="Check Box 49" hidden="1">
                <a:extLst>
                  <a:ext uri="{63B3BB69-23CF-44E3-9099-C40C66FF867C}">
                    <a14:compatExt spid="_x0000_s9265"/>
                  </a:ext>
                  <a:ext uri="{FF2B5EF4-FFF2-40B4-BE49-F238E27FC236}">
                    <a16:creationId xmlns:a16="http://schemas.microsoft.com/office/drawing/2014/main" id="{00000000-0008-0000-1F00-00003180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9266" name="Check Box 50" hidden="1">
                <a:extLst>
                  <a:ext uri="{63B3BB69-23CF-44E3-9099-C40C66FF867C}">
                    <a14:compatExt spid="_x0000_s9266"/>
                  </a:ext>
                  <a:ext uri="{FF2B5EF4-FFF2-40B4-BE49-F238E27FC236}">
                    <a16:creationId xmlns:a16="http://schemas.microsoft.com/office/drawing/2014/main" id="{00000000-0008-0000-1F00-00003280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9267" name="Check Box 51" hidden="1">
                <a:extLst>
                  <a:ext uri="{63B3BB69-23CF-44E3-9099-C40C66FF867C}">
                    <a14:compatExt spid="_x0000_s9267"/>
                  </a:ext>
                  <a:ext uri="{FF2B5EF4-FFF2-40B4-BE49-F238E27FC236}">
                    <a16:creationId xmlns:a16="http://schemas.microsoft.com/office/drawing/2014/main" id="{00000000-0008-0000-1F00-00003380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9268" name="Check Box 52" hidden="1">
                <a:extLst>
                  <a:ext uri="{63B3BB69-23CF-44E3-9099-C40C66FF867C}">
                    <a14:compatExt spid="_x0000_s9268"/>
                  </a:ext>
                  <a:ext uri="{FF2B5EF4-FFF2-40B4-BE49-F238E27FC236}">
                    <a16:creationId xmlns:a16="http://schemas.microsoft.com/office/drawing/2014/main" id="{00000000-0008-0000-1F00-000034800000}"/>
                  </a:ext>
                </a:extLst>
              </xdr:cNvPr>
              <xdr:cNvSpPr/>
            </xdr:nvSpPr>
            <xdr:spPr bwMode="auto">
              <a:xfrm>
                <a:off x="1676400" y="5694897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211AB40C-E4B8-40B0-AFCE-62C090F9EF5E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6D54E6E9-22DD-4B19-90B2-8E1E5187605B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5BFB6908-B47D-455F-8EB6-3857C2208744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4D20B49D-3985-46D7-B2EF-D6C25D457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853465A7-0774-42ED-96C9-9A776E24E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A3FBBBFC-B12E-42D5-83D3-3BF189B18F9F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C389F2C0-34FF-47CB-927D-6C750F90AD7D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A35472A1-0137-4741-BA26-BF8070D0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2D73FB74-E2C8-456F-9030-E96D48126EB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3928" y="5463702"/>
              <a:ext cx="1086255" cy="1480226"/>
              <a:chOff x="1883093" y="4572945"/>
              <a:chExt cx="969630" cy="1683077"/>
            </a:xfrm>
          </xdr:grpSpPr>
          <xdr:sp macro="" textlink="">
            <xdr:nvSpPr>
              <xdr:cNvPr id="8193" name="Check Box 1" hidden="1">
                <a:extLst>
                  <a:ext uri="{63B3BB69-23CF-44E3-9099-C40C66FF867C}">
                    <a14:compatExt spid="_x0000_s8193"/>
                  </a:ext>
                  <a:ext uri="{FF2B5EF4-FFF2-40B4-BE49-F238E27FC236}">
                    <a16:creationId xmlns:a16="http://schemas.microsoft.com/office/drawing/2014/main" id="{00000000-0008-0000-1F00-00000180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8194" name="Check Box 2" hidden="1">
                <a:extLst>
                  <a:ext uri="{63B3BB69-23CF-44E3-9099-C40C66FF867C}">
                    <a14:compatExt spid="_x0000_s8194"/>
                  </a:ext>
                  <a:ext uri="{FF2B5EF4-FFF2-40B4-BE49-F238E27FC236}">
                    <a16:creationId xmlns:a16="http://schemas.microsoft.com/office/drawing/2014/main" id="{00000000-0008-0000-1F00-00000280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8195" name="Check Box 3" hidden="1">
                <a:extLst>
                  <a:ext uri="{63B3BB69-23CF-44E3-9099-C40C66FF867C}">
                    <a14:compatExt spid="_x0000_s8195"/>
                  </a:ext>
                  <a:ext uri="{FF2B5EF4-FFF2-40B4-BE49-F238E27FC236}">
                    <a16:creationId xmlns:a16="http://schemas.microsoft.com/office/drawing/2014/main" id="{00000000-0008-0000-1F00-000003800000}"/>
                  </a:ext>
                </a:extLst>
              </xdr:cNvPr>
              <xdr:cNvSpPr/>
            </xdr:nvSpPr>
            <xdr:spPr bwMode="auto">
              <a:xfrm>
                <a:off x="1883093" y="516849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8196" name="Check Box 4" hidden="1">
                <a:extLst>
                  <a:ext uri="{63B3BB69-23CF-44E3-9099-C40C66FF867C}">
                    <a14:compatExt spid="_x0000_s8196"/>
                  </a:ext>
                  <a:ext uri="{FF2B5EF4-FFF2-40B4-BE49-F238E27FC236}">
                    <a16:creationId xmlns:a16="http://schemas.microsoft.com/office/drawing/2014/main" id="{00000000-0008-0000-1F00-00000480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8197" name="Check Box 5" hidden="1">
                <a:extLst>
                  <a:ext uri="{63B3BB69-23CF-44E3-9099-C40C66FF867C}">
                    <a14:compatExt spid="_x0000_s8197"/>
                  </a:ext>
                  <a:ext uri="{FF2B5EF4-FFF2-40B4-BE49-F238E27FC236}">
                    <a16:creationId xmlns:a16="http://schemas.microsoft.com/office/drawing/2014/main" id="{00000000-0008-0000-1F00-00000580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8198" name="Check Box 6" hidden="1">
                <a:extLst>
                  <a:ext uri="{63B3BB69-23CF-44E3-9099-C40C66FF867C}">
                    <a14:compatExt spid="_x0000_s8198"/>
                  </a:ext>
                  <a:ext uri="{FF2B5EF4-FFF2-40B4-BE49-F238E27FC236}">
                    <a16:creationId xmlns:a16="http://schemas.microsoft.com/office/drawing/2014/main" id="{00000000-0008-0000-1F00-000006800000}"/>
                  </a:ext>
                </a:extLst>
              </xdr:cNvPr>
              <xdr:cNvSpPr/>
            </xdr:nvSpPr>
            <xdr:spPr bwMode="auto">
              <a:xfrm>
                <a:off x="1883093" y="576404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8199" name="Check Box 7" hidden="1">
                <a:extLst>
                  <a:ext uri="{63B3BB69-23CF-44E3-9099-C40C66FF867C}">
                    <a14:compatExt spid="_x0000_s8199"/>
                  </a:ext>
                  <a:ext uri="{FF2B5EF4-FFF2-40B4-BE49-F238E27FC236}">
                    <a16:creationId xmlns:a16="http://schemas.microsoft.com/office/drawing/2014/main" id="{00000000-0008-0000-1F00-00000780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8200" name="Check Box 8" hidden="1">
                <a:extLst>
                  <a:ext uri="{63B3BB69-23CF-44E3-9099-C40C66FF867C}">
                    <a14:compatExt spid="_x0000_s8200"/>
                  </a:ext>
                  <a:ext uri="{FF2B5EF4-FFF2-40B4-BE49-F238E27FC236}">
                    <a16:creationId xmlns:a16="http://schemas.microsoft.com/office/drawing/2014/main" id="{00000000-0008-0000-1F00-000008800000}"/>
                  </a:ext>
                </a:extLst>
              </xdr:cNvPr>
              <xdr:cNvSpPr/>
            </xdr:nvSpPr>
            <xdr:spPr bwMode="auto">
              <a:xfrm>
                <a:off x="1883093" y="5962563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6F87A6BD-85D4-4851-A881-DA00CD2AC028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6839" y="5755532"/>
              <a:ext cx="1750978" cy="462063"/>
              <a:chOff x="3535676" y="4572045"/>
              <a:chExt cx="1554480" cy="449553"/>
            </a:xfrm>
          </xdr:grpSpPr>
          <xdr:sp macro="" textlink="">
            <xdr:nvSpPr>
              <xdr:cNvPr id="8201" name="Check Box 9" hidden="1">
                <a:extLst>
                  <a:ext uri="{63B3BB69-23CF-44E3-9099-C40C66FF867C}">
                    <a14:compatExt spid="_x0000_s8201"/>
                  </a:ext>
                  <a:ext uri="{FF2B5EF4-FFF2-40B4-BE49-F238E27FC236}">
                    <a16:creationId xmlns:a16="http://schemas.microsoft.com/office/drawing/2014/main" id="{00000000-0008-0000-1F00-000009800000}"/>
                  </a:ext>
                </a:extLst>
              </xdr:cNvPr>
              <xdr:cNvSpPr/>
            </xdr:nvSpPr>
            <xdr:spPr bwMode="auto">
              <a:xfrm>
                <a:off x="3535680" y="4572045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8202" name="Check Box 10" hidden="1">
                <a:extLst>
                  <a:ext uri="{63B3BB69-23CF-44E3-9099-C40C66FF867C}">
                    <a14:compatExt spid="_x0000_s8202"/>
                  </a:ext>
                  <a:ext uri="{FF2B5EF4-FFF2-40B4-BE49-F238E27FC236}">
                    <a16:creationId xmlns:a16="http://schemas.microsoft.com/office/drawing/2014/main" id="{00000000-0008-0000-1F00-00000A800000}"/>
                  </a:ext>
                </a:extLst>
              </xdr:cNvPr>
              <xdr:cNvSpPr/>
            </xdr:nvSpPr>
            <xdr:spPr bwMode="auto">
              <a:xfrm>
                <a:off x="3535676" y="4747278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468046A7-BA5E-47D9-9B8D-DA6DD2CE72D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39127" y="5945221"/>
              <a:ext cx="781456" cy="726332"/>
              <a:chOff x="5394960" y="4838701"/>
              <a:chExt cx="568701" cy="722503"/>
            </a:xfrm>
          </xdr:grpSpPr>
          <xdr:sp macro="" textlink="">
            <xdr:nvSpPr>
              <xdr:cNvPr id="8203" name="Check Box 11" hidden="1">
                <a:extLst>
                  <a:ext uri="{63B3BB69-23CF-44E3-9099-C40C66FF867C}">
                    <a14:compatExt spid="_x0000_s8203"/>
                  </a:ext>
                  <a:ext uri="{FF2B5EF4-FFF2-40B4-BE49-F238E27FC236}">
                    <a16:creationId xmlns:a16="http://schemas.microsoft.com/office/drawing/2014/main" id="{00000000-0008-0000-1F00-00000B800000}"/>
                  </a:ext>
                </a:extLst>
              </xdr:cNvPr>
              <xdr:cNvSpPr/>
            </xdr:nvSpPr>
            <xdr:spPr bwMode="auto">
              <a:xfrm>
                <a:off x="5394960" y="4838701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8204" name="Check Box 12" hidden="1">
                <a:extLst>
                  <a:ext uri="{63B3BB69-23CF-44E3-9099-C40C66FF867C}">
                    <a14:compatExt spid="_x0000_s8204"/>
                  </a:ext>
                  <a:ext uri="{FF2B5EF4-FFF2-40B4-BE49-F238E27FC236}">
                    <a16:creationId xmlns:a16="http://schemas.microsoft.com/office/drawing/2014/main" id="{00000000-0008-0000-1F00-00000C80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8205" name="Check Box 13" hidden="1">
                <a:extLst>
                  <a:ext uri="{63B3BB69-23CF-44E3-9099-C40C66FF867C}">
                    <a14:compatExt spid="_x0000_s8205"/>
                  </a:ext>
                  <a:ext uri="{FF2B5EF4-FFF2-40B4-BE49-F238E27FC236}">
                    <a16:creationId xmlns:a16="http://schemas.microsoft.com/office/drawing/2014/main" id="{00000000-0008-0000-1F00-00000D80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8206" name="Check Box 14" hidden="1">
                <a:extLst>
                  <a:ext uri="{63B3BB69-23CF-44E3-9099-C40C66FF867C}">
                    <a14:compatExt spid="_x0000_s8206"/>
                  </a:ext>
                  <a:ext uri="{FF2B5EF4-FFF2-40B4-BE49-F238E27FC236}">
                    <a16:creationId xmlns:a16="http://schemas.microsoft.com/office/drawing/2014/main" id="{00000000-0008-0000-1F00-00000E800000}"/>
                  </a:ext>
                </a:extLst>
              </xdr:cNvPr>
              <xdr:cNvSpPr/>
            </xdr:nvSpPr>
            <xdr:spPr bwMode="auto">
              <a:xfrm>
                <a:off x="5394960" y="5417808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DB99F3B5-22EF-461D-AF70-1ED8EB99876E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09745" y="3691647"/>
              <a:ext cx="1467255" cy="1522379"/>
              <a:chOff x="903513" y="4495527"/>
              <a:chExt cx="1122959" cy="1545361"/>
            </a:xfrm>
          </xdr:grpSpPr>
          <xdr:sp macro="" textlink="">
            <xdr:nvSpPr>
              <xdr:cNvPr id="8207" name="Check Box 15" hidden="1">
                <a:extLst>
                  <a:ext uri="{63B3BB69-23CF-44E3-9099-C40C66FF867C}">
                    <a14:compatExt spid="_x0000_s8207"/>
                  </a:ext>
                  <a:ext uri="{FF2B5EF4-FFF2-40B4-BE49-F238E27FC236}">
                    <a16:creationId xmlns:a16="http://schemas.microsoft.com/office/drawing/2014/main" id="{00000000-0008-0000-1F00-00000F80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8208" name="Check Box 16" hidden="1">
                <a:extLst>
                  <a:ext uri="{63B3BB69-23CF-44E3-9099-C40C66FF867C}">
                    <a14:compatExt spid="_x0000_s8208"/>
                  </a:ext>
                  <a:ext uri="{FF2B5EF4-FFF2-40B4-BE49-F238E27FC236}">
                    <a16:creationId xmlns:a16="http://schemas.microsoft.com/office/drawing/2014/main" id="{00000000-0008-0000-1F00-00001080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8209" name="Check Box 17" hidden="1">
                <a:extLst>
                  <a:ext uri="{63B3BB69-23CF-44E3-9099-C40C66FF867C}">
                    <a14:compatExt spid="_x0000_s8209"/>
                  </a:ext>
                  <a:ext uri="{FF2B5EF4-FFF2-40B4-BE49-F238E27FC236}">
                    <a16:creationId xmlns:a16="http://schemas.microsoft.com/office/drawing/2014/main" id="{00000000-0008-0000-1F00-000011800000}"/>
                  </a:ext>
                </a:extLst>
              </xdr:cNvPr>
              <xdr:cNvSpPr/>
            </xdr:nvSpPr>
            <xdr:spPr bwMode="auto">
              <a:xfrm>
                <a:off x="903513" y="4495527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8210" name="Check Box 18" hidden="1">
                <a:extLst>
                  <a:ext uri="{63B3BB69-23CF-44E3-9099-C40C66FF867C}">
                    <a14:compatExt spid="_x0000_s8210"/>
                  </a:ext>
                  <a:ext uri="{FF2B5EF4-FFF2-40B4-BE49-F238E27FC236}">
                    <a16:creationId xmlns:a16="http://schemas.microsoft.com/office/drawing/2014/main" id="{00000000-0008-0000-1F00-0000128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8211" name="Check Box 19" hidden="1">
                <a:extLst>
                  <a:ext uri="{63B3BB69-23CF-44E3-9099-C40C66FF867C}">
                    <a14:compatExt spid="_x0000_s8211"/>
                  </a:ext>
                  <a:ext uri="{FF2B5EF4-FFF2-40B4-BE49-F238E27FC236}">
                    <a16:creationId xmlns:a16="http://schemas.microsoft.com/office/drawing/2014/main" id="{00000000-0008-0000-1F00-00001380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8212" name="Check Box 20" hidden="1">
                <a:extLst>
                  <a:ext uri="{63B3BB69-23CF-44E3-9099-C40C66FF867C}">
                    <a14:compatExt spid="_x0000_s8212"/>
                  </a:ext>
                  <a:ext uri="{FF2B5EF4-FFF2-40B4-BE49-F238E27FC236}">
                    <a16:creationId xmlns:a16="http://schemas.microsoft.com/office/drawing/2014/main" id="{00000000-0008-0000-1F00-000014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8213" name="Check Box 21" hidden="1">
                <a:extLst>
                  <a:ext uri="{63B3BB69-23CF-44E3-9099-C40C66FF867C}">
                    <a14:compatExt spid="_x0000_s8213"/>
                  </a:ext>
                  <a:ext uri="{FF2B5EF4-FFF2-40B4-BE49-F238E27FC236}">
                    <a16:creationId xmlns:a16="http://schemas.microsoft.com/office/drawing/2014/main" id="{00000000-0008-0000-1F00-00001580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8214" name="Check Box 22" hidden="1">
                <a:extLst>
                  <a:ext uri="{63B3BB69-23CF-44E3-9099-C40C66FF867C}">
                    <a14:compatExt spid="_x0000_s8214"/>
                  </a:ext>
                  <a:ext uri="{FF2B5EF4-FFF2-40B4-BE49-F238E27FC236}">
                    <a16:creationId xmlns:a16="http://schemas.microsoft.com/office/drawing/2014/main" id="{00000000-0008-0000-1F00-000016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8215" name="Check Box 23" hidden="1">
                <a:extLst>
                  <a:ext uri="{63B3BB69-23CF-44E3-9099-C40C66FF867C}">
                    <a14:compatExt spid="_x0000_s8215"/>
                  </a:ext>
                  <a:ext uri="{FF2B5EF4-FFF2-40B4-BE49-F238E27FC236}">
                    <a16:creationId xmlns:a16="http://schemas.microsoft.com/office/drawing/2014/main" id="{00000000-0008-0000-1F00-000017800000}"/>
                  </a:ext>
                </a:extLst>
              </xdr:cNvPr>
              <xdr:cNvSpPr/>
            </xdr:nvSpPr>
            <xdr:spPr bwMode="auto">
              <a:xfrm>
                <a:off x="903513" y="5855054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035C5797-F789-4050-B320-967574AE2178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6839" y="6313251"/>
              <a:ext cx="1750978" cy="376136"/>
              <a:chOff x="3535676" y="4533511"/>
              <a:chExt cx="1554480" cy="513814"/>
            </a:xfrm>
          </xdr:grpSpPr>
          <xdr:sp macro="" textlink="">
            <xdr:nvSpPr>
              <xdr:cNvPr id="8216" name="Check Box 24" hidden="1">
                <a:extLst>
                  <a:ext uri="{63B3BB69-23CF-44E3-9099-C40C66FF867C}">
                    <a14:compatExt spid="_x0000_s8216"/>
                  </a:ext>
                  <a:ext uri="{FF2B5EF4-FFF2-40B4-BE49-F238E27FC236}">
                    <a16:creationId xmlns:a16="http://schemas.microsoft.com/office/drawing/2014/main" id="{00000000-0008-0000-1F00-000018800000}"/>
                  </a:ext>
                </a:extLst>
              </xdr:cNvPr>
              <xdr:cNvSpPr/>
            </xdr:nvSpPr>
            <xdr:spPr bwMode="auto">
              <a:xfrm>
                <a:off x="3535680" y="4533511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8217" name="Check Box 25" hidden="1">
                <a:extLst>
                  <a:ext uri="{63B3BB69-23CF-44E3-9099-C40C66FF867C}">
                    <a14:compatExt spid="_x0000_s8217"/>
                  </a:ext>
                  <a:ext uri="{FF2B5EF4-FFF2-40B4-BE49-F238E27FC236}">
                    <a16:creationId xmlns:a16="http://schemas.microsoft.com/office/drawing/2014/main" id="{00000000-0008-0000-1F00-000019800000}"/>
                  </a:ext>
                </a:extLst>
              </xdr:cNvPr>
              <xdr:cNvSpPr/>
            </xdr:nvSpPr>
            <xdr:spPr bwMode="auto">
              <a:xfrm>
                <a:off x="3535676" y="4773005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8EE2628E-0AAF-4CDD-9BE8-41FA1CFEFF6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3928" y="3691647"/>
              <a:ext cx="1342417" cy="1512651"/>
              <a:chOff x="903513" y="4495534"/>
              <a:chExt cx="1122959" cy="1535575"/>
            </a:xfrm>
          </xdr:grpSpPr>
          <xdr:sp macro="" textlink="">
            <xdr:nvSpPr>
              <xdr:cNvPr id="8218" name="Check Box 26" hidden="1">
                <a:extLst>
                  <a:ext uri="{63B3BB69-23CF-44E3-9099-C40C66FF867C}">
                    <a14:compatExt spid="_x0000_s8218"/>
                  </a:ext>
                  <a:ext uri="{FF2B5EF4-FFF2-40B4-BE49-F238E27FC236}">
                    <a16:creationId xmlns:a16="http://schemas.microsoft.com/office/drawing/2014/main" id="{00000000-0008-0000-1F00-00001A80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8219" name="Check Box 27" hidden="1">
                <a:extLst>
                  <a:ext uri="{63B3BB69-23CF-44E3-9099-C40C66FF867C}">
                    <a14:compatExt spid="_x0000_s8219"/>
                  </a:ext>
                  <a:ext uri="{FF2B5EF4-FFF2-40B4-BE49-F238E27FC236}">
                    <a16:creationId xmlns:a16="http://schemas.microsoft.com/office/drawing/2014/main" id="{00000000-0008-0000-1F00-00001B80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8220" name="Check Box 28" hidden="1">
                <a:extLst>
                  <a:ext uri="{63B3BB69-23CF-44E3-9099-C40C66FF867C}">
                    <a14:compatExt spid="_x0000_s8220"/>
                  </a:ext>
                  <a:ext uri="{FF2B5EF4-FFF2-40B4-BE49-F238E27FC236}">
                    <a16:creationId xmlns:a16="http://schemas.microsoft.com/office/drawing/2014/main" id="{00000000-0008-0000-1F00-00001C800000}"/>
                  </a:ext>
                </a:extLst>
              </xdr:cNvPr>
              <xdr:cNvSpPr/>
            </xdr:nvSpPr>
            <xdr:spPr bwMode="auto">
              <a:xfrm>
                <a:off x="903513" y="4495534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8221" name="Check Box 29" hidden="1">
                <a:extLst>
                  <a:ext uri="{63B3BB69-23CF-44E3-9099-C40C66FF867C}">
                    <a14:compatExt spid="_x0000_s8221"/>
                  </a:ext>
                  <a:ext uri="{FF2B5EF4-FFF2-40B4-BE49-F238E27FC236}">
                    <a16:creationId xmlns:a16="http://schemas.microsoft.com/office/drawing/2014/main" id="{00000000-0008-0000-1F00-00001D80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8222" name="Check Box 30" hidden="1">
                <a:extLst>
                  <a:ext uri="{63B3BB69-23CF-44E3-9099-C40C66FF867C}">
                    <a14:compatExt spid="_x0000_s8222"/>
                  </a:ext>
                  <a:ext uri="{FF2B5EF4-FFF2-40B4-BE49-F238E27FC236}">
                    <a16:creationId xmlns:a16="http://schemas.microsoft.com/office/drawing/2014/main" id="{00000000-0008-0000-1F00-00001E8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8223" name="Check Box 31" hidden="1">
                <a:extLst>
                  <a:ext uri="{63B3BB69-23CF-44E3-9099-C40C66FF867C}">
                    <a14:compatExt spid="_x0000_s8223"/>
                  </a:ext>
                  <a:ext uri="{FF2B5EF4-FFF2-40B4-BE49-F238E27FC236}">
                    <a16:creationId xmlns:a16="http://schemas.microsoft.com/office/drawing/2014/main" id="{00000000-0008-0000-1F00-00001F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8224" name="Check Box 32" hidden="1">
                <a:extLst>
                  <a:ext uri="{63B3BB69-23CF-44E3-9099-C40C66FF867C}">
                    <a14:compatExt spid="_x0000_s8224"/>
                  </a:ext>
                  <a:ext uri="{FF2B5EF4-FFF2-40B4-BE49-F238E27FC236}">
                    <a16:creationId xmlns:a16="http://schemas.microsoft.com/office/drawing/2014/main" id="{00000000-0008-0000-1F00-00002080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8225" name="Check Box 33" hidden="1">
                <a:extLst>
                  <a:ext uri="{63B3BB69-23CF-44E3-9099-C40C66FF867C}">
                    <a14:compatExt spid="_x0000_s8225"/>
                  </a:ext>
                  <a:ext uri="{FF2B5EF4-FFF2-40B4-BE49-F238E27FC236}">
                    <a16:creationId xmlns:a16="http://schemas.microsoft.com/office/drawing/2014/main" id="{00000000-0008-0000-1F00-000021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8226" name="Check Box 34" hidden="1">
                <a:extLst>
                  <a:ext uri="{63B3BB69-23CF-44E3-9099-C40C66FF867C}">
                    <a14:compatExt spid="_x0000_s8226"/>
                  </a:ext>
                  <a:ext uri="{FF2B5EF4-FFF2-40B4-BE49-F238E27FC236}">
                    <a16:creationId xmlns:a16="http://schemas.microsoft.com/office/drawing/2014/main" id="{00000000-0008-0000-1F00-000022800000}"/>
                  </a:ext>
                </a:extLst>
              </xdr:cNvPr>
              <xdr:cNvSpPr/>
            </xdr:nvSpPr>
            <xdr:spPr bwMode="auto">
              <a:xfrm>
                <a:off x="903513" y="5903547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EAD759D2-38BC-4528-9D4D-6C4A0796412B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2A341BE7-6855-4681-850D-B75241800CEB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11B0A00D-3CA4-4B28-9945-10221B96C7ED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1EDB5AE5-5374-46D7-BA85-1CE4CA5629F3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61EC2C1B-12A3-4A7A-8BDD-BDD0D3D2EB90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E7783E94-44F8-4DF3-8C6E-DD9D28A2CE03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5C9A3379-942A-423D-A83F-BA005B447D4A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C7117A30-6C03-45B3-90D7-E13A4B2C51FD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C8EE3B7A-A66E-4BEE-A3B6-76B4A8EFEF29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5E0B8BEB-E330-4A08-B573-005ED3F0FF3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4817" y="4568757"/>
              <a:ext cx="1078149" cy="1819073"/>
              <a:chOff x="903513" y="4495523"/>
              <a:chExt cx="1122959" cy="1545362"/>
            </a:xfrm>
          </xdr:grpSpPr>
          <xdr:sp macro="" textlink="">
            <xdr:nvSpPr>
              <xdr:cNvPr id="8227" name="Check Box 35" hidden="1">
                <a:extLst>
                  <a:ext uri="{63B3BB69-23CF-44E3-9099-C40C66FF867C}">
                    <a14:compatExt spid="_x0000_s8227"/>
                  </a:ext>
                  <a:ext uri="{FF2B5EF4-FFF2-40B4-BE49-F238E27FC236}">
                    <a16:creationId xmlns:a16="http://schemas.microsoft.com/office/drawing/2014/main" id="{00000000-0008-0000-1F00-00002380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8228" name="Check Box 36" hidden="1">
                <a:extLst>
                  <a:ext uri="{63B3BB69-23CF-44E3-9099-C40C66FF867C}">
                    <a14:compatExt spid="_x0000_s8228"/>
                  </a:ext>
                  <a:ext uri="{FF2B5EF4-FFF2-40B4-BE49-F238E27FC236}">
                    <a16:creationId xmlns:a16="http://schemas.microsoft.com/office/drawing/2014/main" id="{00000000-0008-0000-1F00-00002480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8229" name="Check Box 37" hidden="1">
                <a:extLst>
                  <a:ext uri="{63B3BB69-23CF-44E3-9099-C40C66FF867C}">
                    <a14:compatExt spid="_x0000_s8229"/>
                  </a:ext>
                  <a:ext uri="{FF2B5EF4-FFF2-40B4-BE49-F238E27FC236}">
                    <a16:creationId xmlns:a16="http://schemas.microsoft.com/office/drawing/2014/main" id="{00000000-0008-0000-1F00-000025800000}"/>
                  </a:ext>
                </a:extLst>
              </xdr:cNvPr>
              <xdr:cNvSpPr/>
            </xdr:nvSpPr>
            <xdr:spPr bwMode="auto">
              <a:xfrm>
                <a:off x="903513" y="4495523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8230" name="Check Box 38" hidden="1">
                <a:extLst>
                  <a:ext uri="{63B3BB69-23CF-44E3-9099-C40C66FF867C}">
                    <a14:compatExt spid="_x0000_s8230"/>
                  </a:ext>
                  <a:ext uri="{FF2B5EF4-FFF2-40B4-BE49-F238E27FC236}">
                    <a16:creationId xmlns:a16="http://schemas.microsoft.com/office/drawing/2014/main" id="{00000000-0008-0000-1F00-0000268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8231" name="Check Box 39" hidden="1">
                <a:extLst>
                  <a:ext uri="{63B3BB69-23CF-44E3-9099-C40C66FF867C}">
                    <a14:compatExt spid="_x0000_s8231"/>
                  </a:ext>
                  <a:ext uri="{FF2B5EF4-FFF2-40B4-BE49-F238E27FC236}">
                    <a16:creationId xmlns:a16="http://schemas.microsoft.com/office/drawing/2014/main" id="{00000000-0008-0000-1F00-0000278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8232" name="Check Box 40" hidden="1">
                <a:extLst>
                  <a:ext uri="{63B3BB69-23CF-44E3-9099-C40C66FF867C}">
                    <a14:compatExt spid="_x0000_s8232"/>
                  </a:ext>
                  <a:ext uri="{FF2B5EF4-FFF2-40B4-BE49-F238E27FC236}">
                    <a16:creationId xmlns:a16="http://schemas.microsoft.com/office/drawing/2014/main" id="{00000000-0008-0000-1F00-000028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8233" name="Check Box 41" hidden="1">
                <a:extLst>
                  <a:ext uri="{63B3BB69-23CF-44E3-9099-C40C66FF867C}">
                    <a14:compatExt spid="_x0000_s8233"/>
                  </a:ext>
                  <a:ext uri="{FF2B5EF4-FFF2-40B4-BE49-F238E27FC236}">
                    <a16:creationId xmlns:a16="http://schemas.microsoft.com/office/drawing/2014/main" id="{00000000-0008-0000-1F00-00002980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8234" name="Check Box 42" hidden="1">
                <a:extLst>
                  <a:ext uri="{63B3BB69-23CF-44E3-9099-C40C66FF867C}">
                    <a14:compatExt spid="_x0000_s8234"/>
                  </a:ext>
                  <a:ext uri="{FF2B5EF4-FFF2-40B4-BE49-F238E27FC236}">
                    <a16:creationId xmlns:a16="http://schemas.microsoft.com/office/drawing/2014/main" id="{00000000-0008-0000-1F00-00002A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8235" name="Check Box 43" hidden="1">
                <a:extLst>
                  <a:ext uri="{63B3BB69-23CF-44E3-9099-C40C66FF867C}">
                    <a14:compatExt spid="_x0000_s8235"/>
                  </a:ext>
                  <a:ext uri="{FF2B5EF4-FFF2-40B4-BE49-F238E27FC236}">
                    <a16:creationId xmlns:a16="http://schemas.microsoft.com/office/drawing/2014/main" id="{00000000-0008-0000-1F00-00002B800000}"/>
                  </a:ext>
                </a:extLst>
              </xdr:cNvPr>
              <xdr:cNvSpPr/>
            </xdr:nvSpPr>
            <xdr:spPr bwMode="auto">
              <a:xfrm>
                <a:off x="903513" y="5932885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2DA165D5-BEDD-4E56-BD10-4A97E6AEB9F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145" y="4568757"/>
              <a:ext cx="800910" cy="1819073"/>
              <a:chOff x="1676400" y="4286246"/>
              <a:chExt cx="800100" cy="1514493"/>
            </a:xfrm>
          </xdr:grpSpPr>
          <xdr:sp macro="" textlink="">
            <xdr:nvSpPr>
              <xdr:cNvPr id="8236" name="Check Box 44" hidden="1">
                <a:extLst>
                  <a:ext uri="{63B3BB69-23CF-44E3-9099-C40C66FF867C}">
                    <a14:compatExt spid="_x0000_s8236"/>
                  </a:ext>
                  <a:ext uri="{FF2B5EF4-FFF2-40B4-BE49-F238E27FC236}">
                    <a16:creationId xmlns:a16="http://schemas.microsoft.com/office/drawing/2014/main" id="{00000000-0008-0000-1F00-00002C80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8237" name="Check Box 45" hidden="1">
                <a:extLst>
                  <a:ext uri="{63B3BB69-23CF-44E3-9099-C40C66FF867C}">
                    <a14:compatExt spid="_x0000_s8237"/>
                  </a:ext>
                  <a:ext uri="{FF2B5EF4-FFF2-40B4-BE49-F238E27FC236}">
                    <a16:creationId xmlns:a16="http://schemas.microsoft.com/office/drawing/2014/main" id="{00000000-0008-0000-1F00-00002D80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8238" name="Check Box 46" descr="추락" hidden="1">
                <a:extLst>
                  <a:ext uri="{63B3BB69-23CF-44E3-9099-C40C66FF867C}">
                    <a14:compatExt spid="_x0000_s8238"/>
                  </a:ext>
                  <a:ext uri="{FF2B5EF4-FFF2-40B4-BE49-F238E27FC236}">
                    <a16:creationId xmlns:a16="http://schemas.microsoft.com/office/drawing/2014/main" id="{00000000-0008-0000-1F00-00002E800000}"/>
                  </a:ext>
                </a:extLst>
              </xdr:cNvPr>
              <xdr:cNvSpPr/>
            </xdr:nvSpPr>
            <xdr:spPr bwMode="auto">
              <a:xfrm>
                <a:off x="1676400" y="4286246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8239" name="Check Box 47" hidden="1">
                <a:extLst>
                  <a:ext uri="{63B3BB69-23CF-44E3-9099-C40C66FF867C}">
                    <a14:compatExt spid="_x0000_s8239"/>
                  </a:ext>
                  <a:ext uri="{FF2B5EF4-FFF2-40B4-BE49-F238E27FC236}">
                    <a16:creationId xmlns:a16="http://schemas.microsoft.com/office/drawing/2014/main" id="{00000000-0008-0000-1F00-00002F80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8240" name="Check Box 48" hidden="1">
                <a:extLst>
                  <a:ext uri="{63B3BB69-23CF-44E3-9099-C40C66FF867C}">
                    <a14:compatExt spid="_x0000_s8240"/>
                  </a:ext>
                  <a:ext uri="{FF2B5EF4-FFF2-40B4-BE49-F238E27FC236}">
                    <a16:creationId xmlns:a16="http://schemas.microsoft.com/office/drawing/2014/main" id="{00000000-0008-0000-1F00-00003080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8241" name="Check Box 49" hidden="1">
                <a:extLst>
                  <a:ext uri="{63B3BB69-23CF-44E3-9099-C40C66FF867C}">
                    <a14:compatExt spid="_x0000_s8241"/>
                  </a:ext>
                  <a:ext uri="{FF2B5EF4-FFF2-40B4-BE49-F238E27FC236}">
                    <a16:creationId xmlns:a16="http://schemas.microsoft.com/office/drawing/2014/main" id="{00000000-0008-0000-1F00-00003180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8242" name="Check Box 50" hidden="1">
                <a:extLst>
                  <a:ext uri="{63B3BB69-23CF-44E3-9099-C40C66FF867C}">
                    <a14:compatExt spid="_x0000_s8242"/>
                  </a:ext>
                  <a:ext uri="{FF2B5EF4-FFF2-40B4-BE49-F238E27FC236}">
                    <a16:creationId xmlns:a16="http://schemas.microsoft.com/office/drawing/2014/main" id="{00000000-0008-0000-1F00-00003280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8243" name="Check Box 51" hidden="1">
                <a:extLst>
                  <a:ext uri="{63B3BB69-23CF-44E3-9099-C40C66FF867C}">
                    <a14:compatExt spid="_x0000_s8243"/>
                  </a:ext>
                  <a:ext uri="{FF2B5EF4-FFF2-40B4-BE49-F238E27FC236}">
                    <a16:creationId xmlns:a16="http://schemas.microsoft.com/office/drawing/2014/main" id="{00000000-0008-0000-1F00-00003380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8244" name="Check Box 52" hidden="1">
                <a:extLst>
                  <a:ext uri="{63B3BB69-23CF-44E3-9099-C40C66FF867C}">
                    <a14:compatExt spid="_x0000_s8244"/>
                  </a:ext>
                  <a:ext uri="{FF2B5EF4-FFF2-40B4-BE49-F238E27FC236}">
                    <a16:creationId xmlns:a16="http://schemas.microsoft.com/office/drawing/2014/main" id="{00000000-0008-0000-1F00-000034800000}"/>
                  </a:ext>
                </a:extLst>
              </xdr:cNvPr>
              <xdr:cNvSpPr/>
            </xdr:nvSpPr>
            <xdr:spPr bwMode="auto">
              <a:xfrm>
                <a:off x="1676400" y="5694897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736126F9-6BC5-4159-A403-2724AEB7A667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266C0143-E777-4E26-896E-BAC7694494E3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8F220FD3-0D0D-410A-B0B3-9731D7E1155A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056E149C-DA5F-4001-ABFF-5EFF28775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5E8782F5-C869-412E-82D2-17D137F01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58CAF3B9-97A9-4EFC-B06B-D4A883BECEF0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2CCC8037-E259-46F7-8BA9-870ADA8173D7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85C74BE8-6AC5-4D48-B926-F1291A654B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264E3D8C-2528-4DEF-B636-1742676C365B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3928" y="5463702"/>
              <a:ext cx="1086255" cy="1480226"/>
              <a:chOff x="1883093" y="4572945"/>
              <a:chExt cx="969630" cy="1683077"/>
            </a:xfrm>
          </xdr:grpSpPr>
          <xdr:sp macro="" textlink="">
            <xdr:nvSpPr>
              <xdr:cNvPr id="7169" name="Check Box 1" hidden="1">
                <a:extLst>
                  <a:ext uri="{63B3BB69-23CF-44E3-9099-C40C66FF867C}">
                    <a14:compatExt spid="_x0000_s7169"/>
                  </a:ext>
                  <a:ext uri="{FF2B5EF4-FFF2-40B4-BE49-F238E27FC236}">
                    <a16:creationId xmlns:a16="http://schemas.microsoft.com/office/drawing/2014/main" id="{00000000-0008-0000-1F00-00000180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7170" name="Check Box 2" hidden="1">
                <a:extLst>
                  <a:ext uri="{63B3BB69-23CF-44E3-9099-C40C66FF867C}">
                    <a14:compatExt spid="_x0000_s7170"/>
                  </a:ext>
                  <a:ext uri="{FF2B5EF4-FFF2-40B4-BE49-F238E27FC236}">
                    <a16:creationId xmlns:a16="http://schemas.microsoft.com/office/drawing/2014/main" id="{00000000-0008-0000-1F00-00000280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7171" name="Check Box 3" hidden="1">
                <a:extLst>
                  <a:ext uri="{63B3BB69-23CF-44E3-9099-C40C66FF867C}">
                    <a14:compatExt spid="_x0000_s7171"/>
                  </a:ext>
                  <a:ext uri="{FF2B5EF4-FFF2-40B4-BE49-F238E27FC236}">
                    <a16:creationId xmlns:a16="http://schemas.microsoft.com/office/drawing/2014/main" id="{00000000-0008-0000-1F00-000003800000}"/>
                  </a:ext>
                </a:extLst>
              </xdr:cNvPr>
              <xdr:cNvSpPr/>
            </xdr:nvSpPr>
            <xdr:spPr bwMode="auto">
              <a:xfrm>
                <a:off x="1883093" y="516849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7172" name="Check Box 4" hidden="1">
                <a:extLst>
                  <a:ext uri="{63B3BB69-23CF-44E3-9099-C40C66FF867C}">
                    <a14:compatExt spid="_x0000_s7172"/>
                  </a:ext>
                  <a:ext uri="{FF2B5EF4-FFF2-40B4-BE49-F238E27FC236}">
                    <a16:creationId xmlns:a16="http://schemas.microsoft.com/office/drawing/2014/main" id="{00000000-0008-0000-1F00-00000480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7173" name="Check Box 5" hidden="1">
                <a:extLst>
                  <a:ext uri="{63B3BB69-23CF-44E3-9099-C40C66FF867C}">
                    <a14:compatExt spid="_x0000_s7173"/>
                  </a:ext>
                  <a:ext uri="{FF2B5EF4-FFF2-40B4-BE49-F238E27FC236}">
                    <a16:creationId xmlns:a16="http://schemas.microsoft.com/office/drawing/2014/main" id="{00000000-0008-0000-1F00-00000580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7174" name="Check Box 6" hidden="1">
                <a:extLst>
                  <a:ext uri="{63B3BB69-23CF-44E3-9099-C40C66FF867C}">
                    <a14:compatExt spid="_x0000_s7174"/>
                  </a:ext>
                  <a:ext uri="{FF2B5EF4-FFF2-40B4-BE49-F238E27FC236}">
                    <a16:creationId xmlns:a16="http://schemas.microsoft.com/office/drawing/2014/main" id="{00000000-0008-0000-1F00-000006800000}"/>
                  </a:ext>
                </a:extLst>
              </xdr:cNvPr>
              <xdr:cNvSpPr/>
            </xdr:nvSpPr>
            <xdr:spPr bwMode="auto">
              <a:xfrm>
                <a:off x="1883093" y="576404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7175" name="Check Box 7" hidden="1">
                <a:extLst>
                  <a:ext uri="{63B3BB69-23CF-44E3-9099-C40C66FF867C}">
                    <a14:compatExt spid="_x0000_s7175"/>
                  </a:ext>
                  <a:ext uri="{FF2B5EF4-FFF2-40B4-BE49-F238E27FC236}">
                    <a16:creationId xmlns:a16="http://schemas.microsoft.com/office/drawing/2014/main" id="{00000000-0008-0000-1F00-00000780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7176" name="Check Box 8" hidden="1">
                <a:extLst>
                  <a:ext uri="{63B3BB69-23CF-44E3-9099-C40C66FF867C}">
                    <a14:compatExt spid="_x0000_s7176"/>
                  </a:ext>
                  <a:ext uri="{FF2B5EF4-FFF2-40B4-BE49-F238E27FC236}">
                    <a16:creationId xmlns:a16="http://schemas.microsoft.com/office/drawing/2014/main" id="{00000000-0008-0000-1F00-000008800000}"/>
                  </a:ext>
                </a:extLst>
              </xdr:cNvPr>
              <xdr:cNvSpPr/>
            </xdr:nvSpPr>
            <xdr:spPr bwMode="auto">
              <a:xfrm>
                <a:off x="1883093" y="5962563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F2EBFE04-7E0A-4CFB-AE5A-A695A25C1D9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6839" y="5755532"/>
              <a:ext cx="1750978" cy="462063"/>
              <a:chOff x="3535676" y="4572045"/>
              <a:chExt cx="1554480" cy="449553"/>
            </a:xfrm>
          </xdr:grpSpPr>
          <xdr:sp macro="" textlink="">
            <xdr:nvSpPr>
              <xdr:cNvPr id="7177" name="Check Box 9" hidden="1">
                <a:extLst>
                  <a:ext uri="{63B3BB69-23CF-44E3-9099-C40C66FF867C}">
                    <a14:compatExt spid="_x0000_s7177"/>
                  </a:ext>
                  <a:ext uri="{FF2B5EF4-FFF2-40B4-BE49-F238E27FC236}">
                    <a16:creationId xmlns:a16="http://schemas.microsoft.com/office/drawing/2014/main" id="{00000000-0008-0000-1F00-000009800000}"/>
                  </a:ext>
                </a:extLst>
              </xdr:cNvPr>
              <xdr:cNvSpPr/>
            </xdr:nvSpPr>
            <xdr:spPr bwMode="auto">
              <a:xfrm>
                <a:off x="3535680" y="4572045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7178" name="Check Box 10" hidden="1">
                <a:extLst>
                  <a:ext uri="{63B3BB69-23CF-44E3-9099-C40C66FF867C}">
                    <a14:compatExt spid="_x0000_s7178"/>
                  </a:ext>
                  <a:ext uri="{FF2B5EF4-FFF2-40B4-BE49-F238E27FC236}">
                    <a16:creationId xmlns:a16="http://schemas.microsoft.com/office/drawing/2014/main" id="{00000000-0008-0000-1F00-00000A800000}"/>
                  </a:ext>
                </a:extLst>
              </xdr:cNvPr>
              <xdr:cNvSpPr/>
            </xdr:nvSpPr>
            <xdr:spPr bwMode="auto">
              <a:xfrm>
                <a:off x="3535676" y="4747278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49994087-64B2-48CD-8E64-5CCDC463F7E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39127" y="5945221"/>
              <a:ext cx="781456" cy="726332"/>
              <a:chOff x="5394960" y="4838701"/>
              <a:chExt cx="568701" cy="722503"/>
            </a:xfrm>
          </xdr:grpSpPr>
          <xdr:sp macro="" textlink="">
            <xdr:nvSpPr>
              <xdr:cNvPr id="7179" name="Check Box 11" hidden="1">
                <a:extLst>
                  <a:ext uri="{63B3BB69-23CF-44E3-9099-C40C66FF867C}">
                    <a14:compatExt spid="_x0000_s7179"/>
                  </a:ext>
                  <a:ext uri="{FF2B5EF4-FFF2-40B4-BE49-F238E27FC236}">
                    <a16:creationId xmlns:a16="http://schemas.microsoft.com/office/drawing/2014/main" id="{00000000-0008-0000-1F00-00000B800000}"/>
                  </a:ext>
                </a:extLst>
              </xdr:cNvPr>
              <xdr:cNvSpPr/>
            </xdr:nvSpPr>
            <xdr:spPr bwMode="auto">
              <a:xfrm>
                <a:off x="5394960" y="4838701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7180" name="Check Box 12" hidden="1">
                <a:extLst>
                  <a:ext uri="{63B3BB69-23CF-44E3-9099-C40C66FF867C}">
                    <a14:compatExt spid="_x0000_s7180"/>
                  </a:ext>
                  <a:ext uri="{FF2B5EF4-FFF2-40B4-BE49-F238E27FC236}">
                    <a16:creationId xmlns:a16="http://schemas.microsoft.com/office/drawing/2014/main" id="{00000000-0008-0000-1F00-00000C80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7181" name="Check Box 13" hidden="1">
                <a:extLst>
                  <a:ext uri="{63B3BB69-23CF-44E3-9099-C40C66FF867C}">
                    <a14:compatExt spid="_x0000_s7181"/>
                  </a:ext>
                  <a:ext uri="{FF2B5EF4-FFF2-40B4-BE49-F238E27FC236}">
                    <a16:creationId xmlns:a16="http://schemas.microsoft.com/office/drawing/2014/main" id="{00000000-0008-0000-1F00-00000D80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7182" name="Check Box 14" hidden="1">
                <a:extLst>
                  <a:ext uri="{63B3BB69-23CF-44E3-9099-C40C66FF867C}">
                    <a14:compatExt spid="_x0000_s7182"/>
                  </a:ext>
                  <a:ext uri="{FF2B5EF4-FFF2-40B4-BE49-F238E27FC236}">
                    <a16:creationId xmlns:a16="http://schemas.microsoft.com/office/drawing/2014/main" id="{00000000-0008-0000-1F00-00000E800000}"/>
                  </a:ext>
                </a:extLst>
              </xdr:cNvPr>
              <xdr:cNvSpPr/>
            </xdr:nvSpPr>
            <xdr:spPr bwMode="auto">
              <a:xfrm>
                <a:off x="5394960" y="5417808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B1879679-3C36-4CEC-8366-F8D5541DEB77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09745" y="3691647"/>
              <a:ext cx="1467255" cy="1522379"/>
              <a:chOff x="903513" y="4495527"/>
              <a:chExt cx="1122959" cy="1545361"/>
            </a:xfrm>
          </xdr:grpSpPr>
          <xdr:sp macro="" textlink="">
            <xdr:nvSpPr>
              <xdr:cNvPr id="7183" name="Check Box 15" hidden="1">
                <a:extLst>
                  <a:ext uri="{63B3BB69-23CF-44E3-9099-C40C66FF867C}">
                    <a14:compatExt spid="_x0000_s7183"/>
                  </a:ext>
                  <a:ext uri="{FF2B5EF4-FFF2-40B4-BE49-F238E27FC236}">
                    <a16:creationId xmlns:a16="http://schemas.microsoft.com/office/drawing/2014/main" id="{00000000-0008-0000-1F00-00000F80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7184" name="Check Box 16" hidden="1">
                <a:extLst>
                  <a:ext uri="{63B3BB69-23CF-44E3-9099-C40C66FF867C}">
                    <a14:compatExt spid="_x0000_s7184"/>
                  </a:ext>
                  <a:ext uri="{FF2B5EF4-FFF2-40B4-BE49-F238E27FC236}">
                    <a16:creationId xmlns:a16="http://schemas.microsoft.com/office/drawing/2014/main" id="{00000000-0008-0000-1F00-00001080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7185" name="Check Box 17" hidden="1">
                <a:extLst>
                  <a:ext uri="{63B3BB69-23CF-44E3-9099-C40C66FF867C}">
                    <a14:compatExt spid="_x0000_s7185"/>
                  </a:ext>
                  <a:ext uri="{FF2B5EF4-FFF2-40B4-BE49-F238E27FC236}">
                    <a16:creationId xmlns:a16="http://schemas.microsoft.com/office/drawing/2014/main" id="{00000000-0008-0000-1F00-000011800000}"/>
                  </a:ext>
                </a:extLst>
              </xdr:cNvPr>
              <xdr:cNvSpPr/>
            </xdr:nvSpPr>
            <xdr:spPr bwMode="auto">
              <a:xfrm>
                <a:off x="903513" y="4495527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7186" name="Check Box 18" hidden="1">
                <a:extLst>
                  <a:ext uri="{63B3BB69-23CF-44E3-9099-C40C66FF867C}">
                    <a14:compatExt spid="_x0000_s7186"/>
                  </a:ext>
                  <a:ext uri="{FF2B5EF4-FFF2-40B4-BE49-F238E27FC236}">
                    <a16:creationId xmlns:a16="http://schemas.microsoft.com/office/drawing/2014/main" id="{00000000-0008-0000-1F00-0000128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7187" name="Check Box 19" hidden="1">
                <a:extLst>
                  <a:ext uri="{63B3BB69-23CF-44E3-9099-C40C66FF867C}">
                    <a14:compatExt spid="_x0000_s7187"/>
                  </a:ext>
                  <a:ext uri="{FF2B5EF4-FFF2-40B4-BE49-F238E27FC236}">
                    <a16:creationId xmlns:a16="http://schemas.microsoft.com/office/drawing/2014/main" id="{00000000-0008-0000-1F00-00001380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7188" name="Check Box 20" hidden="1">
                <a:extLst>
                  <a:ext uri="{63B3BB69-23CF-44E3-9099-C40C66FF867C}">
                    <a14:compatExt spid="_x0000_s7188"/>
                  </a:ext>
                  <a:ext uri="{FF2B5EF4-FFF2-40B4-BE49-F238E27FC236}">
                    <a16:creationId xmlns:a16="http://schemas.microsoft.com/office/drawing/2014/main" id="{00000000-0008-0000-1F00-000014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7189" name="Check Box 21" hidden="1">
                <a:extLst>
                  <a:ext uri="{63B3BB69-23CF-44E3-9099-C40C66FF867C}">
                    <a14:compatExt spid="_x0000_s7189"/>
                  </a:ext>
                  <a:ext uri="{FF2B5EF4-FFF2-40B4-BE49-F238E27FC236}">
                    <a16:creationId xmlns:a16="http://schemas.microsoft.com/office/drawing/2014/main" id="{00000000-0008-0000-1F00-00001580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7190" name="Check Box 22" hidden="1">
                <a:extLst>
                  <a:ext uri="{63B3BB69-23CF-44E3-9099-C40C66FF867C}">
                    <a14:compatExt spid="_x0000_s7190"/>
                  </a:ext>
                  <a:ext uri="{FF2B5EF4-FFF2-40B4-BE49-F238E27FC236}">
                    <a16:creationId xmlns:a16="http://schemas.microsoft.com/office/drawing/2014/main" id="{00000000-0008-0000-1F00-000016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7191" name="Check Box 23" hidden="1">
                <a:extLst>
                  <a:ext uri="{63B3BB69-23CF-44E3-9099-C40C66FF867C}">
                    <a14:compatExt spid="_x0000_s7191"/>
                  </a:ext>
                  <a:ext uri="{FF2B5EF4-FFF2-40B4-BE49-F238E27FC236}">
                    <a16:creationId xmlns:a16="http://schemas.microsoft.com/office/drawing/2014/main" id="{00000000-0008-0000-1F00-000017800000}"/>
                  </a:ext>
                </a:extLst>
              </xdr:cNvPr>
              <xdr:cNvSpPr/>
            </xdr:nvSpPr>
            <xdr:spPr bwMode="auto">
              <a:xfrm>
                <a:off x="903513" y="5855054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EC85A663-4C89-40E8-B7C0-4A2922D676F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6839" y="6313251"/>
              <a:ext cx="1750978" cy="376136"/>
              <a:chOff x="3535676" y="4533511"/>
              <a:chExt cx="1554480" cy="513814"/>
            </a:xfrm>
          </xdr:grpSpPr>
          <xdr:sp macro="" textlink="">
            <xdr:nvSpPr>
              <xdr:cNvPr id="7192" name="Check Box 24" hidden="1">
                <a:extLst>
                  <a:ext uri="{63B3BB69-23CF-44E3-9099-C40C66FF867C}">
                    <a14:compatExt spid="_x0000_s7192"/>
                  </a:ext>
                  <a:ext uri="{FF2B5EF4-FFF2-40B4-BE49-F238E27FC236}">
                    <a16:creationId xmlns:a16="http://schemas.microsoft.com/office/drawing/2014/main" id="{00000000-0008-0000-1F00-000018800000}"/>
                  </a:ext>
                </a:extLst>
              </xdr:cNvPr>
              <xdr:cNvSpPr/>
            </xdr:nvSpPr>
            <xdr:spPr bwMode="auto">
              <a:xfrm>
                <a:off x="3535680" y="4533511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7193" name="Check Box 25" hidden="1">
                <a:extLst>
                  <a:ext uri="{63B3BB69-23CF-44E3-9099-C40C66FF867C}">
                    <a14:compatExt spid="_x0000_s7193"/>
                  </a:ext>
                  <a:ext uri="{FF2B5EF4-FFF2-40B4-BE49-F238E27FC236}">
                    <a16:creationId xmlns:a16="http://schemas.microsoft.com/office/drawing/2014/main" id="{00000000-0008-0000-1F00-000019800000}"/>
                  </a:ext>
                </a:extLst>
              </xdr:cNvPr>
              <xdr:cNvSpPr/>
            </xdr:nvSpPr>
            <xdr:spPr bwMode="auto">
              <a:xfrm>
                <a:off x="3535676" y="4773005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C09045C7-1410-4215-A01C-C21AB188C0FA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3928" y="3691647"/>
              <a:ext cx="1342417" cy="1512651"/>
              <a:chOff x="903513" y="4495534"/>
              <a:chExt cx="1122959" cy="1535575"/>
            </a:xfrm>
          </xdr:grpSpPr>
          <xdr:sp macro="" textlink="">
            <xdr:nvSpPr>
              <xdr:cNvPr id="7194" name="Check Box 26" hidden="1">
                <a:extLst>
                  <a:ext uri="{63B3BB69-23CF-44E3-9099-C40C66FF867C}">
                    <a14:compatExt spid="_x0000_s7194"/>
                  </a:ext>
                  <a:ext uri="{FF2B5EF4-FFF2-40B4-BE49-F238E27FC236}">
                    <a16:creationId xmlns:a16="http://schemas.microsoft.com/office/drawing/2014/main" id="{00000000-0008-0000-1F00-00001A80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7195" name="Check Box 27" hidden="1">
                <a:extLst>
                  <a:ext uri="{63B3BB69-23CF-44E3-9099-C40C66FF867C}">
                    <a14:compatExt spid="_x0000_s7195"/>
                  </a:ext>
                  <a:ext uri="{FF2B5EF4-FFF2-40B4-BE49-F238E27FC236}">
                    <a16:creationId xmlns:a16="http://schemas.microsoft.com/office/drawing/2014/main" id="{00000000-0008-0000-1F00-00001B80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7196" name="Check Box 28" hidden="1">
                <a:extLst>
                  <a:ext uri="{63B3BB69-23CF-44E3-9099-C40C66FF867C}">
                    <a14:compatExt spid="_x0000_s7196"/>
                  </a:ext>
                  <a:ext uri="{FF2B5EF4-FFF2-40B4-BE49-F238E27FC236}">
                    <a16:creationId xmlns:a16="http://schemas.microsoft.com/office/drawing/2014/main" id="{00000000-0008-0000-1F00-00001C800000}"/>
                  </a:ext>
                </a:extLst>
              </xdr:cNvPr>
              <xdr:cNvSpPr/>
            </xdr:nvSpPr>
            <xdr:spPr bwMode="auto">
              <a:xfrm>
                <a:off x="903513" y="4495534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7197" name="Check Box 29" hidden="1">
                <a:extLst>
                  <a:ext uri="{63B3BB69-23CF-44E3-9099-C40C66FF867C}">
                    <a14:compatExt spid="_x0000_s7197"/>
                  </a:ext>
                  <a:ext uri="{FF2B5EF4-FFF2-40B4-BE49-F238E27FC236}">
                    <a16:creationId xmlns:a16="http://schemas.microsoft.com/office/drawing/2014/main" id="{00000000-0008-0000-1F00-00001D80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7198" name="Check Box 30" hidden="1">
                <a:extLst>
                  <a:ext uri="{63B3BB69-23CF-44E3-9099-C40C66FF867C}">
                    <a14:compatExt spid="_x0000_s7198"/>
                  </a:ext>
                  <a:ext uri="{FF2B5EF4-FFF2-40B4-BE49-F238E27FC236}">
                    <a16:creationId xmlns:a16="http://schemas.microsoft.com/office/drawing/2014/main" id="{00000000-0008-0000-1F00-00001E8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7199" name="Check Box 31" hidden="1">
                <a:extLst>
                  <a:ext uri="{63B3BB69-23CF-44E3-9099-C40C66FF867C}">
                    <a14:compatExt spid="_x0000_s7199"/>
                  </a:ext>
                  <a:ext uri="{FF2B5EF4-FFF2-40B4-BE49-F238E27FC236}">
                    <a16:creationId xmlns:a16="http://schemas.microsoft.com/office/drawing/2014/main" id="{00000000-0008-0000-1F00-00001F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7200" name="Check Box 32" hidden="1">
                <a:extLst>
                  <a:ext uri="{63B3BB69-23CF-44E3-9099-C40C66FF867C}">
                    <a14:compatExt spid="_x0000_s7200"/>
                  </a:ext>
                  <a:ext uri="{FF2B5EF4-FFF2-40B4-BE49-F238E27FC236}">
                    <a16:creationId xmlns:a16="http://schemas.microsoft.com/office/drawing/2014/main" id="{00000000-0008-0000-1F00-00002080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7201" name="Check Box 33" hidden="1">
                <a:extLst>
                  <a:ext uri="{63B3BB69-23CF-44E3-9099-C40C66FF867C}">
                    <a14:compatExt spid="_x0000_s7201"/>
                  </a:ext>
                  <a:ext uri="{FF2B5EF4-FFF2-40B4-BE49-F238E27FC236}">
                    <a16:creationId xmlns:a16="http://schemas.microsoft.com/office/drawing/2014/main" id="{00000000-0008-0000-1F00-000021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7202" name="Check Box 34" hidden="1">
                <a:extLst>
                  <a:ext uri="{63B3BB69-23CF-44E3-9099-C40C66FF867C}">
                    <a14:compatExt spid="_x0000_s7202"/>
                  </a:ext>
                  <a:ext uri="{FF2B5EF4-FFF2-40B4-BE49-F238E27FC236}">
                    <a16:creationId xmlns:a16="http://schemas.microsoft.com/office/drawing/2014/main" id="{00000000-0008-0000-1F00-000022800000}"/>
                  </a:ext>
                </a:extLst>
              </xdr:cNvPr>
              <xdr:cNvSpPr/>
            </xdr:nvSpPr>
            <xdr:spPr bwMode="auto">
              <a:xfrm>
                <a:off x="903513" y="5903547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445352B6-1785-45CB-B18C-E4DD20227B77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BB7937B8-D8D6-4BD9-A535-64757D23E83C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A045B82C-6B38-4122-A1CE-1D51F383AA7D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566F86C0-233E-478B-BA65-90A879735DFE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D4D89727-4AA9-420D-9B6F-4C87744BEACD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378118F-8DD6-42C9-B776-D44A6B9180EC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8382BE79-98FD-4CD7-9DE2-1DD0752C7709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FFA1FAA8-AB84-4EBA-AC58-CBA7F21EBAF5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875EC22A-9EB3-4F76-A31C-D81F2FEB6498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0331B7F4-E596-457F-878E-446A18D9802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4817" y="4568757"/>
              <a:ext cx="1078149" cy="1819073"/>
              <a:chOff x="903513" y="4495523"/>
              <a:chExt cx="1122959" cy="1545362"/>
            </a:xfrm>
          </xdr:grpSpPr>
          <xdr:sp macro="" textlink="">
            <xdr:nvSpPr>
              <xdr:cNvPr id="7203" name="Check Box 35" hidden="1">
                <a:extLst>
                  <a:ext uri="{63B3BB69-23CF-44E3-9099-C40C66FF867C}">
                    <a14:compatExt spid="_x0000_s7203"/>
                  </a:ext>
                  <a:ext uri="{FF2B5EF4-FFF2-40B4-BE49-F238E27FC236}">
                    <a16:creationId xmlns:a16="http://schemas.microsoft.com/office/drawing/2014/main" id="{00000000-0008-0000-1F00-00002380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7204" name="Check Box 36" hidden="1">
                <a:extLst>
                  <a:ext uri="{63B3BB69-23CF-44E3-9099-C40C66FF867C}">
                    <a14:compatExt spid="_x0000_s7204"/>
                  </a:ext>
                  <a:ext uri="{FF2B5EF4-FFF2-40B4-BE49-F238E27FC236}">
                    <a16:creationId xmlns:a16="http://schemas.microsoft.com/office/drawing/2014/main" id="{00000000-0008-0000-1F00-00002480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7205" name="Check Box 37" hidden="1">
                <a:extLst>
                  <a:ext uri="{63B3BB69-23CF-44E3-9099-C40C66FF867C}">
                    <a14:compatExt spid="_x0000_s7205"/>
                  </a:ext>
                  <a:ext uri="{FF2B5EF4-FFF2-40B4-BE49-F238E27FC236}">
                    <a16:creationId xmlns:a16="http://schemas.microsoft.com/office/drawing/2014/main" id="{00000000-0008-0000-1F00-000025800000}"/>
                  </a:ext>
                </a:extLst>
              </xdr:cNvPr>
              <xdr:cNvSpPr/>
            </xdr:nvSpPr>
            <xdr:spPr bwMode="auto">
              <a:xfrm>
                <a:off x="903513" y="4495523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7206" name="Check Box 38" hidden="1">
                <a:extLst>
                  <a:ext uri="{63B3BB69-23CF-44E3-9099-C40C66FF867C}">
                    <a14:compatExt spid="_x0000_s7206"/>
                  </a:ext>
                  <a:ext uri="{FF2B5EF4-FFF2-40B4-BE49-F238E27FC236}">
                    <a16:creationId xmlns:a16="http://schemas.microsoft.com/office/drawing/2014/main" id="{00000000-0008-0000-1F00-0000268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7207" name="Check Box 39" hidden="1">
                <a:extLst>
                  <a:ext uri="{63B3BB69-23CF-44E3-9099-C40C66FF867C}">
                    <a14:compatExt spid="_x0000_s7207"/>
                  </a:ext>
                  <a:ext uri="{FF2B5EF4-FFF2-40B4-BE49-F238E27FC236}">
                    <a16:creationId xmlns:a16="http://schemas.microsoft.com/office/drawing/2014/main" id="{00000000-0008-0000-1F00-0000278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7208" name="Check Box 40" hidden="1">
                <a:extLst>
                  <a:ext uri="{63B3BB69-23CF-44E3-9099-C40C66FF867C}">
                    <a14:compatExt spid="_x0000_s7208"/>
                  </a:ext>
                  <a:ext uri="{FF2B5EF4-FFF2-40B4-BE49-F238E27FC236}">
                    <a16:creationId xmlns:a16="http://schemas.microsoft.com/office/drawing/2014/main" id="{00000000-0008-0000-1F00-000028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7209" name="Check Box 41" hidden="1">
                <a:extLst>
                  <a:ext uri="{63B3BB69-23CF-44E3-9099-C40C66FF867C}">
                    <a14:compatExt spid="_x0000_s7209"/>
                  </a:ext>
                  <a:ext uri="{FF2B5EF4-FFF2-40B4-BE49-F238E27FC236}">
                    <a16:creationId xmlns:a16="http://schemas.microsoft.com/office/drawing/2014/main" id="{00000000-0008-0000-1F00-00002980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7210" name="Check Box 42" hidden="1">
                <a:extLst>
                  <a:ext uri="{63B3BB69-23CF-44E3-9099-C40C66FF867C}">
                    <a14:compatExt spid="_x0000_s7210"/>
                  </a:ext>
                  <a:ext uri="{FF2B5EF4-FFF2-40B4-BE49-F238E27FC236}">
                    <a16:creationId xmlns:a16="http://schemas.microsoft.com/office/drawing/2014/main" id="{00000000-0008-0000-1F00-00002A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7211" name="Check Box 43" hidden="1">
                <a:extLst>
                  <a:ext uri="{63B3BB69-23CF-44E3-9099-C40C66FF867C}">
                    <a14:compatExt spid="_x0000_s7211"/>
                  </a:ext>
                  <a:ext uri="{FF2B5EF4-FFF2-40B4-BE49-F238E27FC236}">
                    <a16:creationId xmlns:a16="http://schemas.microsoft.com/office/drawing/2014/main" id="{00000000-0008-0000-1F00-00002B800000}"/>
                  </a:ext>
                </a:extLst>
              </xdr:cNvPr>
              <xdr:cNvSpPr/>
            </xdr:nvSpPr>
            <xdr:spPr bwMode="auto">
              <a:xfrm>
                <a:off x="903513" y="5932885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6975B787-3AFD-44A6-8A53-3363CB6755D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145" y="4568757"/>
              <a:ext cx="800910" cy="1819073"/>
              <a:chOff x="1676400" y="4286246"/>
              <a:chExt cx="800100" cy="1514493"/>
            </a:xfrm>
          </xdr:grpSpPr>
          <xdr:sp macro="" textlink="">
            <xdr:nvSpPr>
              <xdr:cNvPr id="7212" name="Check Box 44" hidden="1">
                <a:extLst>
                  <a:ext uri="{63B3BB69-23CF-44E3-9099-C40C66FF867C}">
                    <a14:compatExt spid="_x0000_s7212"/>
                  </a:ext>
                  <a:ext uri="{FF2B5EF4-FFF2-40B4-BE49-F238E27FC236}">
                    <a16:creationId xmlns:a16="http://schemas.microsoft.com/office/drawing/2014/main" id="{00000000-0008-0000-1F00-00002C80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7213" name="Check Box 45" hidden="1">
                <a:extLst>
                  <a:ext uri="{63B3BB69-23CF-44E3-9099-C40C66FF867C}">
                    <a14:compatExt spid="_x0000_s7213"/>
                  </a:ext>
                  <a:ext uri="{FF2B5EF4-FFF2-40B4-BE49-F238E27FC236}">
                    <a16:creationId xmlns:a16="http://schemas.microsoft.com/office/drawing/2014/main" id="{00000000-0008-0000-1F00-00002D80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7214" name="Check Box 46" descr="추락" hidden="1">
                <a:extLst>
                  <a:ext uri="{63B3BB69-23CF-44E3-9099-C40C66FF867C}">
                    <a14:compatExt spid="_x0000_s7214"/>
                  </a:ext>
                  <a:ext uri="{FF2B5EF4-FFF2-40B4-BE49-F238E27FC236}">
                    <a16:creationId xmlns:a16="http://schemas.microsoft.com/office/drawing/2014/main" id="{00000000-0008-0000-1F00-00002E800000}"/>
                  </a:ext>
                </a:extLst>
              </xdr:cNvPr>
              <xdr:cNvSpPr/>
            </xdr:nvSpPr>
            <xdr:spPr bwMode="auto">
              <a:xfrm>
                <a:off x="1676400" y="4286246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7215" name="Check Box 47" hidden="1">
                <a:extLst>
                  <a:ext uri="{63B3BB69-23CF-44E3-9099-C40C66FF867C}">
                    <a14:compatExt spid="_x0000_s7215"/>
                  </a:ext>
                  <a:ext uri="{FF2B5EF4-FFF2-40B4-BE49-F238E27FC236}">
                    <a16:creationId xmlns:a16="http://schemas.microsoft.com/office/drawing/2014/main" id="{00000000-0008-0000-1F00-00002F80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7216" name="Check Box 48" hidden="1">
                <a:extLst>
                  <a:ext uri="{63B3BB69-23CF-44E3-9099-C40C66FF867C}">
                    <a14:compatExt spid="_x0000_s7216"/>
                  </a:ext>
                  <a:ext uri="{FF2B5EF4-FFF2-40B4-BE49-F238E27FC236}">
                    <a16:creationId xmlns:a16="http://schemas.microsoft.com/office/drawing/2014/main" id="{00000000-0008-0000-1F00-00003080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7217" name="Check Box 49" hidden="1">
                <a:extLst>
                  <a:ext uri="{63B3BB69-23CF-44E3-9099-C40C66FF867C}">
                    <a14:compatExt spid="_x0000_s7217"/>
                  </a:ext>
                  <a:ext uri="{FF2B5EF4-FFF2-40B4-BE49-F238E27FC236}">
                    <a16:creationId xmlns:a16="http://schemas.microsoft.com/office/drawing/2014/main" id="{00000000-0008-0000-1F00-00003180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7218" name="Check Box 50" hidden="1">
                <a:extLst>
                  <a:ext uri="{63B3BB69-23CF-44E3-9099-C40C66FF867C}">
                    <a14:compatExt spid="_x0000_s7218"/>
                  </a:ext>
                  <a:ext uri="{FF2B5EF4-FFF2-40B4-BE49-F238E27FC236}">
                    <a16:creationId xmlns:a16="http://schemas.microsoft.com/office/drawing/2014/main" id="{00000000-0008-0000-1F00-00003280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7219" name="Check Box 51" hidden="1">
                <a:extLst>
                  <a:ext uri="{63B3BB69-23CF-44E3-9099-C40C66FF867C}">
                    <a14:compatExt spid="_x0000_s7219"/>
                  </a:ext>
                  <a:ext uri="{FF2B5EF4-FFF2-40B4-BE49-F238E27FC236}">
                    <a16:creationId xmlns:a16="http://schemas.microsoft.com/office/drawing/2014/main" id="{00000000-0008-0000-1F00-00003380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7220" name="Check Box 52" hidden="1">
                <a:extLst>
                  <a:ext uri="{63B3BB69-23CF-44E3-9099-C40C66FF867C}">
                    <a14:compatExt spid="_x0000_s7220"/>
                  </a:ext>
                  <a:ext uri="{FF2B5EF4-FFF2-40B4-BE49-F238E27FC236}">
                    <a16:creationId xmlns:a16="http://schemas.microsoft.com/office/drawing/2014/main" id="{00000000-0008-0000-1F00-000034800000}"/>
                  </a:ext>
                </a:extLst>
              </xdr:cNvPr>
              <xdr:cNvSpPr/>
            </xdr:nvSpPr>
            <xdr:spPr bwMode="auto">
              <a:xfrm>
                <a:off x="1676400" y="5694897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C0A33447-1636-4683-A883-22612BBBC1F8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25C07CA3-FFB7-4442-91EC-F774F22BF11C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682CD5BC-9829-4DD4-B26F-6128B1BA3474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A5634A4A-E6C6-47FE-8BC0-04214E650E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E9B5968D-216A-408F-9A3B-3A9B47BC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562D3D7B-9B50-4856-9961-994B5C094D37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0</xdr:rowOff>
    </xdr:from>
    <xdr:to>
      <xdr:col>8</xdr:col>
      <xdr:colOff>676296</xdr:colOff>
      <xdr:row>34</xdr:row>
      <xdr:rowOff>0</xdr:rowOff>
    </xdr:to>
    <xdr:sp macro="" textlink="">
      <xdr:nvSpPr>
        <xdr:cNvPr id="2" name="Text 30">
          <a:extLst>
            <a:ext uri="{FF2B5EF4-FFF2-40B4-BE49-F238E27FC236}">
              <a16:creationId xmlns:a16="http://schemas.microsoft.com/office/drawing/2014/main" id="{B4A128AD-2274-485C-AACF-4D5E66CB836F}"/>
            </a:ext>
          </a:extLst>
        </xdr:cNvPr>
        <xdr:cNvSpPr txBox="1">
          <a:spLocks noChangeArrowheads="1"/>
        </xdr:cNvSpPr>
      </xdr:nvSpPr>
      <xdr:spPr bwMode="auto">
        <a:xfrm>
          <a:off x="0" y="6943725"/>
          <a:ext cx="7248546" cy="0"/>
        </a:xfrm>
        <a:prstGeom prst="rect">
          <a:avLst/>
        </a:prstGeom>
        <a:pattFill prst="pct10">
          <a:fgClr>
            <a:srgbClr val="000000"/>
          </a:fgClr>
          <a:bgClr>
            <a:srgbClr val="FFFFFF"/>
          </a:bgClr>
        </a:patt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본 제안서는 접수후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3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등록하고 등록후 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7</a:t>
          </a: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일이내 결과를 통보바랍니다</a:t>
          </a:r>
          <a:r>
            <a:rPr lang="en-US" altLang="ko-KR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.</a:t>
          </a:r>
        </a:p>
      </xdr:txBody>
    </xdr:sp>
    <xdr:clientData/>
  </xdr:twoCellAnchor>
  <xdr:oneCellAnchor>
    <xdr:from>
      <xdr:col>0</xdr:col>
      <xdr:colOff>95250</xdr:colOff>
      <xdr:row>0</xdr:row>
      <xdr:rowOff>19050</xdr:rowOff>
    </xdr:from>
    <xdr:ext cx="942975" cy="414130"/>
    <xdr:pic>
      <xdr:nvPicPr>
        <xdr:cNvPr id="3" name="그림 46">
          <a:extLst>
            <a:ext uri="{FF2B5EF4-FFF2-40B4-BE49-F238E27FC236}">
              <a16:creationId xmlns:a16="http://schemas.microsoft.com/office/drawing/2014/main" id="{5FAA3197-29DD-410A-943D-ED1C1CCE25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9050"/>
          <a:ext cx="942975" cy="4141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400050</xdr:colOff>
          <xdr:row>34</xdr:row>
          <xdr:rowOff>28575</xdr:rowOff>
        </xdr:to>
        <xdr:grpSp>
          <xdr:nvGrpSpPr>
            <xdr:cNvPr id="4" name="그룹 5">
              <a:extLst>
                <a:ext uri="{FF2B5EF4-FFF2-40B4-BE49-F238E27FC236}">
                  <a16:creationId xmlns:a16="http://schemas.microsoft.com/office/drawing/2014/main" id="{856E90A4-567E-4B87-B90C-4BB2845668E7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3928" y="5463702"/>
              <a:ext cx="1086255" cy="1480226"/>
              <a:chOff x="1883093" y="4572945"/>
              <a:chExt cx="969630" cy="1683077"/>
            </a:xfrm>
          </xdr:grpSpPr>
          <xdr:sp macro="" textlink="">
            <xdr:nvSpPr>
              <xdr:cNvPr id="5121" name="Check Box 1" hidden="1">
                <a:extLst>
                  <a:ext uri="{63B3BB69-23CF-44E3-9099-C40C66FF867C}">
                    <a14:compatExt spid="_x0000_s5121"/>
                  </a:ext>
                  <a:ext uri="{FF2B5EF4-FFF2-40B4-BE49-F238E27FC236}">
                    <a16:creationId xmlns:a16="http://schemas.microsoft.com/office/drawing/2014/main" id="{00000000-0008-0000-1F00-000001800000}"/>
                  </a:ext>
                </a:extLst>
              </xdr:cNvPr>
              <xdr:cNvSpPr/>
            </xdr:nvSpPr>
            <xdr:spPr bwMode="auto">
              <a:xfrm>
                <a:off x="1883093" y="4572945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규정 위반</a:t>
                </a:r>
              </a:p>
            </xdr:txBody>
          </xdr:sp>
          <xdr:sp macro="" textlink="">
            <xdr:nvSpPr>
              <xdr:cNvPr id="5122" name="Check Box 2" hidden="1">
                <a:extLst>
                  <a:ext uri="{63B3BB69-23CF-44E3-9099-C40C66FF867C}">
                    <a14:compatExt spid="_x0000_s5122"/>
                  </a:ext>
                  <a:ext uri="{FF2B5EF4-FFF2-40B4-BE49-F238E27FC236}">
                    <a16:creationId xmlns:a16="http://schemas.microsoft.com/office/drawing/2014/main" id="{00000000-0008-0000-1F00-000002800000}"/>
                  </a:ext>
                </a:extLst>
              </xdr:cNvPr>
              <xdr:cNvSpPr/>
            </xdr:nvSpPr>
            <xdr:spPr bwMode="auto">
              <a:xfrm>
                <a:off x="1883093" y="4969983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무거운 짐 취급</a:t>
                </a:r>
              </a:p>
            </xdr:txBody>
          </xdr:sp>
          <xdr:sp macro="" textlink="">
            <xdr:nvSpPr>
              <xdr:cNvPr id="5123" name="Check Box 3" hidden="1">
                <a:extLst>
                  <a:ext uri="{63B3BB69-23CF-44E3-9099-C40C66FF867C}">
                    <a14:compatExt spid="_x0000_s5123"/>
                  </a:ext>
                  <a:ext uri="{FF2B5EF4-FFF2-40B4-BE49-F238E27FC236}">
                    <a16:creationId xmlns:a16="http://schemas.microsoft.com/office/drawing/2014/main" id="{00000000-0008-0000-1F00-000003800000}"/>
                  </a:ext>
                </a:extLst>
              </xdr:cNvPr>
              <xdr:cNvSpPr/>
            </xdr:nvSpPr>
            <xdr:spPr bwMode="auto">
              <a:xfrm>
                <a:off x="1883093" y="516849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보호구</a:t>
                </a:r>
              </a:p>
            </xdr:txBody>
          </xdr:sp>
          <xdr:sp macro="" textlink="">
            <xdr:nvSpPr>
              <xdr:cNvPr id="5124" name="Check Box 4" hidden="1">
                <a:extLst>
                  <a:ext uri="{63B3BB69-23CF-44E3-9099-C40C66FF867C}">
                    <a14:compatExt spid="_x0000_s5124"/>
                  </a:ext>
                  <a:ext uri="{FF2B5EF4-FFF2-40B4-BE49-F238E27FC236}">
                    <a16:creationId xmlns:a16="http://schemas.microsoft.com/office/drawing/2014/main" id="{00000000-0008-0000-1F00-000004800000}"/>
                  </a:ext>
                </a:extLst>
              </xdr:cNvPr>
              <xdr:cNvSpPr/>
            </xdr:nvSpPr>
            <xdr:spPr bwMode="auto">
              <a:xfrm>
                <a:off x="1883093" y="5367015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불안전한 자세</a:t>
                </a:r>
              </a:p>
            </xdr:txBody>
          </xdr:sp>
          <xdr:sp macro="" textlink="">
            <xdr:nvSpPr>
              <xdr:cNvPr id="5125" name="Check Box 5" hidden="1">
                <a:extLst>
                  <a:ext uri="{63B3BB69-23CF-44E3-9099-C40C66FF867C}">
                    <a14:compatExt spid="_x0000_s5125"/>
                  </a:ext>
                  <a:ext uri="{FF2B5EF4-FFF2-40B4-BE49-F238E27FC236}">
                    <a16:creationId xmlns:a16="http://schemas.microsoft.com/office/drawing/2014/main" id="{00000000-0008-0000-1F00-000005800000}"/>
                  </a:ext>
                </a:extLst>
              </xdr:cNvPr>
              <xdr:cNvSpPr/>
            </xdr:nvSpPr>
            <xdr:spPr bwMode="auto">
              <a:xfrm>
                <a:off x="1883093" y="5565531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소통 미비</a:t>
                </a:r>
              </a:p>
            </xdr:txBody>
          </xdr:sp>
          <xdr:sp macro="" textlink="">
            <xdr:nvSpPr>
              <xdr:cNvPr id="5126" name="Check Box 6" hidden="1">
                <a:extLst>
                  <a:ext uri="{63B3BB69-23CF-44E3-9099-C40C66FF867C}">
                    <a14:compatExt spid="_x0000_s5126"/>
                  </a:ext>
                  <a:ext uri="{FF2B5EF4-FFF2-40B4-BE49-F238E27FC236}">
                    <a16:creationId xmlns:a16="http://schemas.microsoft.com/office/drawing/2014/main" id="{00000000-0008-0000-1F00-000006800000}"/>
                  </a:ext>
                </a:extLst>
              </xdr:cNvPr>
              <xdr:cNvSpPr/>
            </xdr:nvSpPr>
            <xdr:spPr bwMode="auto">
              <a:xfrm>
                <a:off x="1883093" y="576404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평소 습관</a:t>
                </a:r>
              </a:p>
            </xdr:txBody>
          </xdr:sp>
          <xdr:sp macro="" textlink="">
            <xdr:nvSpPr>
              <xdr:cNvPr id="5127" name="Check Box 7" hidden="1">
                <a:extLst>
                  <a:ext uri="{63B3BB69-23CF-44E3-9099-C40C66FF867C}">
                    <a14:compatExt spid="_x0000_s5127"/>
                  </a:ext>
                  <a:ext uri="{FF2B5EF4-FFF2-40B4-BE49-F238E27FC236}">
                    <a16:creationId xmlns:a16="http://schemas.microsoft.com/office/drawing/2014/main" id="{00000000-0008-0000-1F00-000007800000}"/>
                  </a:ext>
                </a:extLst>
              </xdr:cNvPr>
              <xdr:cNvSpPr/>
            </xdr:nvSpPr>
            <xdr:spPr bwMode="auto">
              <a:xfrm>
                <a:off x="1883093" y="4771469"/>
                <a:ext cx="969630" cy="2934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도구의 잘못 사용</a:t>
                </a:r>
              </a:p>
            </xdr:txBody>
          </xdr:sp>
          <xdr:sp macro="" textlink="">
            <xdr:nvSpPr>
              <xdr:cNvPr id="5128" name="Check Box 8" hidden="1">
                <a:extLst>
                  <a:ext uri="{63B3BB69-23CF-44E3-9099-C40C66FF867C}">
                    <a14:compatExt spid="_x0000_s5128"/>
                  </a:ext>
                  <a:ext uri="{FF2B5EF4-FFF2-40B4-BE49-F238E27FC236}">
                    <a16:creationId xmlns:a16="http://schemas.microsoft.com/office/drawing/2014/main" id="{00000000-0008-0000-1F00-000008800000}"/>
                  </a:ext>
                </a:extLst>
              </xdr:cNvPr>
              <xdr:cNvSpPr/>
            </xdr:nvSpPr>
            <xdr:spPr bwMode="auto">
              <a:xfrm>
                <a:off x="1883093" y="5962563"/>
                <a:ext cx="969630" cy="29345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28</xdr:row>
          <xdr:rowOff>85725</xdr:rowOff>
        </xdr:from>
        <xdr:to>
          <xdr:col>7</xdr:col>
          <xdr:colOff>733425</xdr:colOff>
          <xdr:row>30</xdr:row>
          <xdr:rowOff>133350</xdr:rowOff>
        </xdr:to>
        <xdr:grpSp>
          <xdr:nvGrpSpPr>
            <xdr:cNvPr id="5" name="그룹 4">
              <a:extLst>
                <a:ext uri="{FF2B5EF4-FFF2-40B4-BE49-F238E27FC236}">
                  <a16:creationId xmlns:a16="http://schemas.microsoft.com/office/drawing/2014/main" id="{BAE47DE0-AAC5-4246-8E30-46AA878017B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6839" y="5755532"/>
              <a:ext cx="1750978" cy="462063"/>
              <a:chOff x="3535676" y="4572045"/>
              <a:chExt cx="1554480" cy="449553"/>
            </a:xfrm>
          </xdr:grpSpPr>
          <xdr:sp macro="" textlink="">
            <xdr:nvSpPr>
              <xdr:cNvPr id="5129" name="Check Box 9" hidden="1">
                <a:extLst>
                  <a:ext uri="{63B3BB69-23CF-44E3-9099-C40C66FF867C}">
                    <a14:compatExt spid="_x0000_s5129"/>
                  </a:ext>
                  <a:ext uri="{FF2B5EF4-FFF2-40B4-BE49-F238E27FC236}">
                    <a16:creationId xmlns:a16="http://schemas.microsoft.com/office/drawing/2014/main" id="{00000000-0008-0000-1F00-000009800000}"/>
                  </a:ext>
                </a:extLst>
              </xdr:cNvPr>
              <xdr:cNvSpPr/>
            </xdr:nvSpPr>
            <xdr:spPr bwMode="auto">
              <a:xfrm>
                <a:off x="3535680" y="4572045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위험경로에 위치함</a:t>
                </a:r>
              </a:p>
            </xdr:txBody>
          </xdr:sp>
          <xdr:sp macro="" textlink="">
            <xdr:nvSpPr>
              <xdr:cNvPr id="5130" name="Check Box 10" hidden="1">
                <a:extLst>
                  <a:ext uri="{63B3BB69-23CF-44E3-9099-C40C66FF867C}">
                    <a14:compatExt spid="_x0000_s5130"/>
                  </a:ext>
                  <a:ext uri="{FF2B5EF4-FFF2-40B4-BE49-F238E27FC236}">
                    <a16:creationId xmlns:a16="http://schemas.microsoft.com/office/drawing/2014/main" id="{00000000-0008-0000-1F00-00000A800000}"/>
                  </a:ext>
                </a:extLst>
              </xdr:cNvPr>
              <xdr:cNvSpPr/>
            </xdr:nvSpPr>
            <xdr:spPr bwMode="auto">
              <a:xfrm>
                <a:off x="3535676" y="4747278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몸의 균형이 불안정해짐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66675</xdr:colOff>
          <xdr:row>29</xdr:row>
          <xdr:rowOff>66675</xdr:rowOff>
        </xdr:from>
        <xdr:to>
          <xdr:col>9</xdr:col>
          <xdr:colOff>28575</xdr:colOff>
          <xdr:row>32</xdr:row>
          <xdr:rowOff>171450</xdr:rowOff>
        </xdr:to>
        <xdr:grpSp>
          <xdr:nvGrpSpPr>
            <xdr:cNvPr id="6" name="그룹 2">
              <a:extLst>
                <a:ext uri="{FF2B5EF4-FFF2-40B4-BE49-F238E27FC236}">
                  <a16:creationId xmlns:a16="http://schemas.microsoft.com/office/drawing/2014/main" id="{5922C19D-3E7D-458F-81DE-544EA93ABF9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39127" y="5945221"/>
              <a:ext cx="781456" cy="726332"/>
              <a:chOff x="5394960" y="4838701"/>
              <a:chExt cx="568701" cy="722503"/>
            </a:xfrm>
          </xdr:grpSpPr>
          <xdr:sp macro="" textlink="">
            <xdr:nvSpPr>
              <xdr:cNvPr id="5131" name="Check Box 11" hidden="1">
                <a:extLst>
                  <a:ext uri="{63B3BB69-23CF-44E3-9099-C40C66FF867C}">
                    <a14:compatExt spid="_x0000_s5131"/>
                  </a:ext>
                  <a:ext uri="{FF2B5EF4-FFF2-40B4-BE49-F238E27FC236}">
                    <a16:creationId xmlns:a16="http://schemas.microsoft.com/office/drawing/2014/main" id="{00000000-0008-0000-1F00-00000B800000}"/>
                  </a:ext>
                </a:extLst>
              </xdr:cNvPr>
              <xdr:cNvSpPr/>
            </xdr:nvSpPr>
            <xdr:spPr bwMode="auto">
              <a:xfrm>
                <a:off x="5394960" y="4838701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서두름</a:t>
                </a:r>
              </a:p>
            </xdr:txBody>
          </xdr:sp>
          <xdr:sp macro="" textlink="">
            <xdr:nvSpPr>
              <xdr:cNvPr id="5132" name="Check Box 12" hidden="1">
                <a:extLst>
                  <a:ext uri="{63B3BB69-23CF-44E3-9099-C40C66FF867C}">
                    <a14:compatExt spid="_x0000_s5132"/>
                  </a:ext>
                  <a:ext uri="{FF2B5EF4-FFF2-40B4-BE49-F238E27FC236}">
                    <a16:creationId xmlns:a16="http://schemas.microsoft.com/office/drawing/2014/main" id="{00000000-0008-0000-1F00-00000C800000}"/>
                  </a:ext>
                </a:extLst>
              </xdr:cNvPr>
              <xdr:cNvSpPr/>
            </xdr:nvSpPr>
            <xdr:spPr bwMode="auto">
              <a:xfrm>
                <a:off x="5394960" y="5021118"/>
                <a:ext cx="568701" cy="143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피로</a:t>
                </a:r>
              </a:p>
            </xdr:txBody>
          </xdr:sp>
          <xdr:sp macro="" textlink="">
            <xdr:nvSpPr>
              <xdr:cNvPr id="5133" name="Check Box 13" hidden="1">
                <a:extLst>
                  <a:ext uri="{63B3BB69-23CF-44E3-9099-C40C66FF867C}">
                    <a14:compatExt spid="_x0000_s5133"/>
                  </a:ext>
                  <a:ext uri="{FF2B5EF4-FFF2-40B4-BE49-F238E27FC236}">
                    <a16:creationId xmlns:a16="http://schemas.microsoft.com/office/drawing/2014/main" id="{00000000-0008-0000-1F00-00000D800000}"/>
                  </a:ext>
                </a:extLst>
              </xdr:cNvPr>
              <xdr:cNvSpPr/>
            </xdr:nvSpPr>
            <xdr:spPr bwMode="auto">
              <a:xfrm>
                <a:off x="5394960" y="5203536"/>
                <a:ext cx="525780" cy="17526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스트레스 </a:t>
                </a:r>
              </a:p>
            </xdr:txBody>
          </xdr:sp>
          <xdr:sp macro="" textlink="">
            <xdr:nvSpPr>
              <xdr:cNvPr id="5134" name="Check Box 14" hidden="1">
                <a:extLst>
                  <a:ext uri="{63B3BB69-23CF-44E3-9099-C40C66FF867C}">
                    <a14:compatExt spid="_x0000_s5134"/>
                  </a:ext>
                  <a:ext uri="{FF2B5EF4-FFF2-40B4-BE49-F238E27FC236}">
                    <a16:creationId xmlns:a16="http://schemas.microsoft.com/office/drawing/2014/main" id="{00000000-0008-0000-1F00-00000E800000}"/>
                  </a:ext>
                </a:extLst>
              </xdr:cNvPr>
              <xdr:cNvSpPr/>
            </xdr:nvSpPr>
            <xdr:spPr bwMode="auto">
              <a:xfrm>
                <a:off x="5394960" y="5417808"/>
                <a:ext cx="568701" cy="14339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자만심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581025</xdr:colOff>
          <xdr:row>18</xdr:row>
          <xdr:rowOff>47625</xdr:rowOff>
        </xdr:from>
        <xdr:to>
          <xdr:col>7</xdr:col>
          <xdr:colOff>762000</xdr:colOff>
          <xdr:row>25</xdr:row>
          <xdr:rowOff>152400</xdr:rowOff>
        </xdr:to>
        <xdr:grpSp>
          <xdr:nvGrpSpPr>
            <xdr:cNvPr id="7" name="그룹 8">
              <a:extLst>
                <a:ext uri="{FF2B5EF4-FFF2-40B4-BE49-F238E27FC236}">
                  <a16:creationId xmlns:a16="http://schemas.microsoft.com/office/drawing/2014/main" id="{3001C70C-D790-421F-A02B-1AF2D6000023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009745" y="3691647"/>
              <a:ext cx="1467255" cy="1522379"/>
              <a:chOff x="903513" y="4495527"/>
              <a:chExt cx="1122959" cy="1545361"/>
            </a:xfrm>
          </xdr:grpSpPr>
          <xdr:sp macro="" textlink="">
            <xdr:nvSpPr>
              <xdr:cNvPr id="5135" name="Check Box 15" hidden="1">
                <a:extLst>
                  <a:ext uri="{63B3BB69-23CF-44E3-9099-C40C66FF867C}">
                    <a14:compatExt spid="_x0000_s5135"/>
                  </a:ext>
                  <a:ext uri="{FF2B5EF4-FFF2-40B4-BE49-F238E27FC236}">
                    <a16:creationId xmlns:a16="http://schemas.microsoft.com/office/drawing/2014/main" id="{00000000-0008-0000-1F00-00000F800000}"/>
                  </a:ext>
                </a:extLst>
              </xdr:cNvPr>
              <xdr:cNvSpPr/>
            </xdr:nvSpPr>
            <xdr:spPr bwMode="auto">
              <a:xfrm>
                <a:off x="903513" y="5532285"/>
                <a:ext cx="859643" cy="15586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동물/뱀/벌</a:t>
                </a:r>
              </a:p>
            </xdr:txBody>
          </xdr:sp>
          <xdr:sp macro="" textlink="">
            <xdr:nvSpPr>
              <xdr:cNvPr id="5136" name="Check Box 16" hidden="1">
                <a:extLst>
                  <a:ext uri="{63B3BB69-23CF-44E3-9099-C40C66FF867C}">
                    <a14:compatExt spid="_x0000_s5136"/>
                  </a:ext>
                  <a:ext uri="{FF2B5EF4-FFF2-40B4-BE49-F238E27FC236}">
                    <a16:creationId xmlns:a16="http://schemas.microsoft.com/office/drawing/2014/main" id="{00000000-0008-0000-1F00-000010800000}"/>
                  </a:ext>
                </a:extLst>
              </xdr:cNvPr>
              <xdr:cNvSpPr/>
            </xdr:nvSpPr>
            <xdr:spPr bwMode="auto">
              <a:xfrm>
                <a:off x="903513" y="5688776"/>
                <a:ext cx="709414" cy="17573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제3자</a:t>
                </a:r>
              </a:p>
            </xdr:txBody>
          </xdr:sp>
          <xdr:sp macro="" textlink="">
            <xdr:nvSpPr>
              <xdr:cNvPr id="5137" name="Check Box 17" hidden="1">
                <a:extLst>
                  <a:ext uri="{63B3BB69-23CF-44E3-9099-C40C66FF867C}">
                    <a14:compatExt spid="_x0000_s5137"/>
                  </a:ext>
                  <a:ext uri="{FF2B5EF4-FFF2-40B4-BE49-F238E27FC236}">
                    <a16:creationId xmlns:a16="http://schemas.microsoft.com/office/drawing/2014/main" id="{00000000-0008-0000-1F00-000011800000}"/>
                  </a:ext>
                </a:extLst>
              </xdr:cNvPr>
              <xdr:cNvSpPr/>
            </xdr:nvSpPr>
            <xdr:spPr bwMode="auto">
              <a:xfrm>
                <a:off x="903513" y="4495527"/>
                <a:ext cx="1122959" cy="15649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자연재해</a:t>
                </a:r>
              </a:p>
            </xdr:txBody>
          </xdr:sp>
          <xdr:sp macro="" textlink="">
            <xdr:nvSpPr>
              <xdr:cNvPr id="5138" name="Check Box 18" hidden="1">
                <a:extLst>
                  <a:ext uri="{63B3BB69-23CF-44E3-9099-C40C66FF867C}">
                    <a14:compatExt spid="_x0000_s5138"/>
                  </a:ext>
                  <a:ext uri="{FF2B5EF4-FFF2-40B4-BE49-F238E27FC236}">
                    <a16:creationId xmlns:a16="http://schemas.microsoft.com/office/drawing/2014/main" id="{00000000-0008-0000-1F00-0000128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464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5139" name="Check Box 19" hidden="1">
                <a:extLst>
                  <a:ext uri="{63B3BB69-23CF-44E3-9099-C40C66FF867C}">
                    <a14:compatExt spid="_x0000_s5139"/>
                  </a:ext>
                  <a:ext uri="{FF2B5EF4-FFF2-40B4-BE49-F238E27FC236}">
                    <a16:creationId xmlns:a16="http://schemas.microsoft.com/office/drawing/2014/main" id="{00000000-0008-0000-1F00-000013800000}"/>
                  </a:ext>
                </a:extLst>
              </xdr:cNvPr>
              <xdr:cNvSpPr/>
            </xdr:nvSpPr>
            <xdr:spPr bwMode="auto">
              <a:xfrm>
                <a:off x="903513" y="4848254"/>
                <a:ext cx="1122959" cy="14608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계단</a:t>
                </a:r>
              </a:p>
            </xdr:txBody>
          </xdr:sp>
          <xdr:sp macro="" textlink="">
            <xdr:nvSpPr>
              <xdr:cNvPr id="5140" name="Check Box 20" hidden="1">
                <a:extLst>
                  <a:ext uri="{63B3BB69-23CF-44E3-9099-C40C66FF867C}">
                    <a14:compatExt spid="_x0000_s5140"/>
                  </a:ext>
                  <a:ext uri="{FF2B5EF4-FFF2-40B4-BE49-F238E27FC236}">
                    <a16:creationId xmlns:a16="http://schemas.microsoft.com/office/drawing/2014/main" id="{00000000-0008-0000-1F00-000014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3599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낙석</a:t>
                </a:r>
              </a:p>
            </xdr:txBody>
          </xdr:sp>
          <xdr:sp macro="" textlink="">
            <xdr:nvSpPr>
              <xdr:cNvPr id="5141" name="Check Box 21" hidden="1">
                <a:extLst>
                  <a:ext uri="{63B3BB69-23CF-44E3-9099-C40C66FF867C}">
                    <a14:compatExt spid="_x0000_s5141"/>
                  </a:ext>
                  <a:ext uri="{FF2B5EF4-FFF2-40B4-BE49-F238E27FC236}">
                    <a16:creationId xmlns:a16="http://schemas.microsoft.com/office/drawing/2014/main" id="{00000000-0008-0000-1F00-000015800000}"/>
                  </a:ext>
                </a:extLst>
              </xdr:cNvPr>
              <xdr:cNvSpPr/>
            </xdr:nvSpPr>
            <xdr:spPr bwMode="auto">
              <a:xfrm>
                <a:off x="903513" y="5170395"/>
                <a:ext cx="1008019" cy="205395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폭설/결빙</a:t>
                </a:r>
              </a:p>
            </xdr:txBody>
          </xdr:sp>
          <xdr:sp macro="" textlink="">
            <xdr:nvSpPr>
              <xdr:cNvPr id="5142" name="Check Box 22" hidden="1">
                <a:extLst>
                  <a:ext uri="{63B3BB69-23CF-44E3-9099-C40C66FF867C}">
                    <a14:compatExt spid="_x0000_s5142"/>
                  </a:ext>
                  <a:ext uri="{FF2B5EF4-FFF2-40B4-BE49-F238E27FC236}">
                    <a16:creationId xmlns:a16="http://schemas.microsoft.com/office/drawing/2014/main" id="{00000000-0008-0000-1F00-000016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도구 및 장비</a:t>
                </a:r>
              </a:p>
            </xdr:txBody>
          </xdr:sp>
          <xdr:sp macro="" textlink="">
            <xdr:nvSpPr>
              <xdr:cNvPr id="5143" name="Check Box 23" hidden="1">
                <a:extLst>
                  <a:ext uri="{63B3BB69-23CF-44E3-9099-C40C66FF867C}">
                    <a14:compatExt spid="_x0000_s5143"/>
                  </a:ext>
                  <a:ext uri="{FF2B5EF4-FFF2-40B4-BE49-F238E27FC236}">
                    <a16:creationId xmlns:a16="http://schemas.microsoft.com/office/drawing/2014/main" id="{00000000-0008-0000-1F00-000017800000}"/>
                  </a:ext>
                </a:extLst>
              </xdr:cNvPr>
              <xdr:cNvSpPr/>
            </xdr:nvSpPr>
            <xdr:spPr bwMode="auto">
              <a:xfrm>
                <a:off x="903513" y="5855054"/>
                <a:ext cx="752407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조명/환경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266700</xdr:colOff>
          <xdr:row>31</xdr:row>
          <xdr:rowOff>19050</xdr:rowOff>
        </xdr:from>
        <xdr:to>
          <xdr:col>7</xdr:col>
          <xdr:colOff>733425</xdr:colOff>
          <xdr:row>32</xdr:row>
          <xdr:rowOff>190500</xdr:rowOff>
        </xdr:to>
        <xdr:grpSp>
          <xdr:nvGrpSpPr>
            <xdr:cNvPr id="8" name="그룹 56">
              <a:extLst>
                <a:ext uri="{FF2B5EF4-FFF2-40B4-BE49-F238E27FC236}">
                  <a16:creationId xmlns:a16="http://schemas.microsoft.com/office/drawing/2014/main" id="{152AD990-2EF7-4B1D-9DE4-405C498A75CB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696839" y="6313251"/>
              <a:ext cx="1750978" cy="376136"/>
              <a:chOff x="3535676" y="4533511"/>
              <a:chExt cx="1554480" cy="513814"/>
            </a:xfrm>
          </xdr:grpSpPr>
          <xdr:sp macro="" textlink="">
            <xdr:nvSpPr>
              <xdr:cNvPr id="5144" name="Check Box 24" hidden="1">
                <a:extLst>
                  <a:ext uri="{63B3BB69-23CF-44E3-9099-C40C66FF867C}">
                    <a14:compatExt spid="_x0000_s5144"/>
                  </a:ext>
                  <a:ext uri="{FF2B5EF4-FFF2-40B4-BE49-F238E27FC236}">
                    <a16:creationId xmlns:a16="http://schemas.microsoft.com/office/drawing/2014/main" id="{00000000-0008-0000-1F00-000018800000}"/>
                  </a:ext>
                </a:extLst>
              </xdr:cNvPr>
              <xdr:cNvSpPr/>
            </xdr:nvSpPr>
            <xdr:spPr bwMode="auto">
              <a:xfrm>
                <a:off x="3535680" y="4533511"/>
                <a:ext cx="12115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보지 않음</a:t>
                </a:r>
              </a:p>
            </xdr:txBody>
          </xdr:sp>
          <xdr:sp macro="" textlink="">
            <xdr:nvSpPr>
              <xdr:cNvPr id="5145" name="Check Box 25" hidden="1">
                <a:extLst>
                  <a:ext uri="{63B3BB69-23CF-44E3-9099-C40C66FF867C}">
                    <a14:compatExt spid="_x0000_s5145"/>
                  </a:ext>
                  <a:ext uri="{FF2B5EF4-FFF2-40B4-BE49-F238E27FC236}">
                    <a16:creationId xmlns:a16="http://schemas.microsoft.com/office/drawing/2014/main" id="{00000000-0008-0000-1F00-000019800000}"/>
                  </a:ext>
                </a:extLst>
              </xdr:cNvPr>
              <xdr:cNvSpPr/>
            </xdr:nvSpPr>
            <xdr:spPr bwMode="auto">
              <a:xfrm>
                <a:off x="3535676" y="4773005"/>
                <a:ext cx="1554480" cy="2743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위험을 생각하지 않음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18</xdr:row>
          <xdr:rowOff>47625</xdr:rowOff>
        </xdr:from>
        <xdr:to>
          <xdr:col>5</xdr:col>
          <xdr:colOff>47625</xdr:colOff>
          <xdr:row>25</xdr:row>
          <xdr:rowOff>142875</xdr:rowOff>
        </xdr:to>
        <xdr:grpSp>
          <xdr:nvGrpSpPr>
            <xdr:cNvPr id="9" name="그룹 59">
              <a:extLst>
                <a:ext uri="{FF2B5EF4-FFF2-40B4-BE49-F238E27FC236}">
                  <a16:creationId xmlns:a16="http://schemas.microsoft.com/office/drawing/2014/main" id="{1AAF56AF-2736-43EC-8539-6224A7F7400A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3133928" y="3691647"/>
              <a:ext cx="1342417" cy="1512651"/>
              <a:chOff x="903513" y="4495534"/>
              <a:chExt cx="1122959" cy="1535575"/>
            </a:xfrm>
          </xdr:grpSpPr>
          <xdr:sp macro="" textlink="">
            <xdr:nvSpPr>
              <xdr:cNvPr id="5146" name="Check Box 26" hidden="1">
                <a:extLst>
                  <a:ext uri="{63B3BB69-23CF-44E3-9099-C40C66FF867C}">
                    <a14:compatExt spid="_x0000_s5146"/>
                  </a:ext>
                  <a:ext uri="{FF2B5EF4-FFF2-40B4-BE49-F238E27FC236}">
                    <a16:creationId xmlns:a16="http://schemas.microsoft.com/office/drawing/2014/main" id="{00000000-0008-0000-1F00-00001A800000}"/>
                  </a:ext>
                </a:extLst>
              </xdr:cNvPr>
              <xdr:cNvSpPr/>
            </xdr:nvSpPr>
            <xdr:spPr bwMode="auto">
              <a:xfrm>
                <a:off x="903513" y="5531244"/>
                <a:ext cx="859643" cy="17709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운전장비</a:t>
                </a:r>
              </a:p>
            </xdr:txBody>
          </xdr:sp>
          <xdr:sp macro="" textlink="">
            <xdr:nvSpPr>
              <xdr:cNvPr id="5147" name="Check Box 27" hidden="1">
                <a:extLst>
                  <a:ext uri="{63B3BB69-23CF-44E3-9099-C40C66FF867C}">
                    <a14:compatExt spid="_x0000_s5147"/>
                  </a:ext>
                  <a:ext uri="{FF2B5EF4-FFF2-40B4-BE49-F238E27FC236}">
                    <a16:creationId xmlns:a16="http://schemas.microsoft.com/office/drawing/2014/main" id="{00000000-0008-0000-1F00-00001B800000}"/>
                  </a:ext>
                </a:extLst>
              </xdr:cNvPr>
              <xdr:cNvSpPr/>
            </xdr:nvSpPr>
            <xdr:spPr bwMode="auto">
              <a:xfrm>
                <a:off x="903513" y="5708336"/>
                <a:ext cx="709414" cy="156176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</a:t>
                </a:r>
              </a:p>
            </xdr:txBody>
          </xdr:sp>
          <xdr:sp macro="" textlink="">
            <xdr:nvSpPr>
              <xdr:cNvPr id="5148" name="Check Box 28" hidden="1">
                <a:extLst>
                  <a:ext uri="{63B3BB69-23CF-44E3-9099-C40C66FF867C}">
                    <a14:compatExt spid="_x0000_s5148"/>
                  </a:ext>
                  <a:ext uri="{FF2B5EF4-FFF2-40B4-BE49-F238E27FC236}">
                    <a16:creationId xmlns:a16="http://schemas.microsoft.com/office/drawing/2014/main" id="{00000000-0008-0000-1F00-00001C800000}"/>
                  </a:ext>
                </a:extLst>
              </xdr:cNvPr>
              <xdr:cNvSpPr/>
            </xdr:nvSpPr>
            <xdr:spPr bwMode="auto">
              <a:xfrm>
                <a:off x="903513" y="4495534"/>
                <a:ext cx="1122959" cy="185834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통로</a:t>
                </a:r>
              </a:p>
            </xdr:txBody>
          </xdr:sp>
          <xdr:sp macro="" textlink="">
            <xdr:nvSpPr>
              <xdr:cNvPr id="5149" name="Check Box 29" hidden="1">
                <a:extLst>
                  <a:ext uri="{63B3BB69-23CF-44E3-9099-C40C66FF867C}">
                    <a14:compatExt spid="_x0000_s5149"/>
                  </a:ext>
                  <a:ext uri="{FF2B5EF4-FFF2-40B4-BE49-F238E27FC236}">
                    <a16:creationId xmlns:a16="http://schemas.microsoft.com/office/drawing/2014/main" id="{00000000-0008-0000-1F00-00001D800000}"/>
                  </a:ext>
                </a:extLst>
              </xdr:cNvPr>
              <xdr:cNvSpPr/>
            </xdr:nvSpPr>
            <xdr:spPr bwMode="auto">
              <a:xfrm>
                <a:off x="903513" y="4671890"/>
                <a:ext cx="1122959" cy="15618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돌출부</a:t>
                </a:r>
              </a:p>
            </xdr:txBody>
          </xdr:sp>
          <xdr:sp macro="" textlink="">
            <xdr:nvSpPr>
              <xdr:cNvPr id="5150" name="Check Box 30" hidden="1">
                <a:extLst>
                  <a:ext uri="{63B3BB69-23CF-44E3-9099-C40C66FF867C}">
                    <a14:compatExt spid="_x0000_s5150"/>
                  </a:ext>
                  <a:ext uri="{FF2B5EF4-FFF2-40B4-BE49-F238E27FC236}">
                    <a16:creationId xmlns:a16="http://schemas.microsoft.com/office/drawing/2014/main" id="{00000000-0008-0000-1F00-00001E8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7543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안전난간</a:t>
                </a:r>
              </a:p>
            </xdr:txBody>
          </xdr:sp>
          <xdr:sp macro="" textlink="">
            <xdr:nvSpPr>
              <xdr:cNvPr id="5151" name="Check Box 31" hidden="1">
                <a:extLst>
                  <a:ext uri="{63B3BB69-23CF-44E3-9099-C40C66FF867C}">
                    <a14:compatExt spid="_x0000_s5151"/>
                  </a:ext>
                  <a:ext uri="{FF2B5EF4-FFF2-40B4-BE49-F238E27FC236}">
                    <a16:creationId xmlns:a16="http://schemas.microsoft.com/office/drawing/2014/main" id="{00000000-0008-0000-1F00-00001F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75121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작업발판</a:t>
                </a:r>
              </a:p>
            </xdr:txBody>
          </xdr:sp>
          <xdr:sp macro="" textlink="">
            <xdr:nvSpPr>
              <xdr:cNvPr id="5152" name="Check Box 32" hidden="1">
                <a:extLst>
                  <a:ext uri="{63B3BB69-23CF-44E3-9099-C40C66FF867C}">
                    <a14:compatExt spid="_x0000_s5152"/>
                  </a:ext>
                  <a:ext uri="{FF2B5EF4-FFF2-40B4-BE49-F238E27FC236}">
                    <a16:creationId xmlns:a16="http://schemas.microsoft.com/office/drawing/2014/main" id="{00000000-0008-0000-1F00-000020800000}"/>
                  </a:ext>
                </a:extLst>
              </xdr:cNvPr>
              <xdr:cNvSpPr/>
            </xdr:nvSpPr>
            <xdr:spPr bwMode="auto">
              <a:xfrm>
                <a:off x="903513" y="5200986"/>
                <a:ext cx="1008019" cy="155248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개구부</a:t>
                </a:r>
              </a:p>
            </xdr:txBody>
          </xdr:sp>
          <xdr:sp macro="" textlink="">
            <xdr:nvSpPr>
              <xdr:cNvPr id="5153" name="Check Box 33" hidden="1">
                <a:extLst>
                  <a:ext uri="{63B3BB69-23CF-44E3-9099-C40C66FF867C}">
                    <a14:compatExt spid="_x0000_s5153"/>
                  </a:ext>
                  <a:ext uri="{FF2B5EF4-FFF2-40B4-BE49-F238E27FC236}">
                    <a16:creationId xmlns:a16="http://schemas.microsoft.com/office/drawing/2014/main" id="{00000000-0008-0000-1F00-000021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전기</a:t>
                </a:r>
              </a:p>
            </xdr:txBody>
          </xdr:sp>
          <xdr:sp macro="" textlink="">
            <xdr:nvSpPr>
              <xdr:cNvPr id="5154" name="Check Box 34" hidden="1">
                <a:extLst>
                  <a:ext uri="{63B3BB69-23CF-44E3-9099-C40C66FF867C}">
                    <a14:compatExt spid="_x0000_s5154"/>
                  </a:ext>
                  <a:ext uri="{FF2B5EF4-FFF2-40B4-BE49-F238E27FC236}">
                    <a16:creationId xmlns:a16="http://schemas.microsoft.com/office/drawing/2014/main" id="{00000000-0008-0000-1F00-000022800000}"/>
                  </a:ext>
                </a:extLst>
              </xdr:cNvPr>
              <xdr:cNvSpPr/>
            </xdr:nvSpPr>
            <xdr:spPr bwMode="auto">
              <a:xfrm>
                <a:off x="903513" y="5903547"/>
                <a:ext cx="752407" cy="12756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정리정돈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6</xdr:col>
      <xdr:colOff>390525</xdr:colOff>
      <xdr:row>30</xdr:row>
      <xdr:rowOff>104775</xdr:rowOff>
    </xdr:from>
    <xdr:to>
      <xdr:col>6</xdr:col>
      <xdr:colOff>495300</xdr:colOff>
      <xdr:row>31</xdr:row>
      <xdr:rowOff>47625</xdr:rowOff>
    </xdr:to>
    <xdr:sp macro="" textlink="">
      <xdr:nvSpPr>
        <xdr:cNvPr id="10" name="오른쪽 화살표 70">
          <a:extLst>
            <a:ext uri="{FF2B5EF4-FFF2-40B4-BE49-F238E27FC236}">
              <a16:creationId xmlns:a16="http://schemas.microsoft.com/office/drawing/2014/main" id="{3C152E63-8500-4A76-9799-CF4D1E91DE82}"/>
            </a:ext>
          </a:extLst>
        </xdr:cNvPr>
        <xdr:cNvSpPr>
          <a:spLocks noChangeArrowheads="1"/>
        </xdr:cNvSpPr>
      </xdr:nvSpPr>
      <xdr:spPr bwMode="auto">
        <a:xfrm rot="5400000">
          <a:off x="5405438" y="6234112"/>
          <a:ext cx="152400" cy="104775"/>
        </a:xfrm>
        <a:prstGeom prst="rightArrow">
          <a:avLst>
            <a:gd name="adj1" fmla="val 50000"/>
            <a:gd name="adj2" fmla="val 49340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</xdr:col>
      <xdr:colOff>666750</xdr:colOff>
      <xdr:row>30</xdr:row>
      <xdr:rowOff>152400</xdr:rowOff>
    </xdr:from>
    <xdr:to>
      <xdr:col>7</xdr:col>
      <xdr:colOff>838200</xdr:colOff>
      <xdr:row>31</xdr:row>
      <xdr:rowOff>57150</xdr:rowOff>
    </xdr:to>
    <xdr:sp macro="" textlink="">
      <xdr:nvSpPr>
        <xdr:cNvPr id="11" name="오른쪽 화살표 71">
          <a:extLst>
            <a:ext uri="{FF2B5EF4-FFF2-40B4-BE49-F238E27FC236}">
              <a16:creationId xmlns:a16="http://schemas.microsoft.com/office/drawing/2014/main" id="{9B106FA5-43E5-41F7-9EB8-3DBB53E7FC21}"/>
            </a:ext>
          </a:extLst>
        </xdr:cNvPr>
        <xdr:cNvSpPr>
          <a:spLocks noChangeArrowheads="1"/>
        </xdr:cNvSpPr>
      </xdr:nvSpPr>
      <xdr:spPr bwMode="auto">
        <a:xfrm>
          <a:off x="6381750" y="6257925"/>
          <a:ext cx="171450" cy="114300"/>
        </a:xfrm>
        <a:prstGeom prst="rightArrow">
          <a:avLst>
            <a:gd name="adj1" fmla="val 50000"/>
            <a:gd name="adj2" fmla="val 5131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</xdr:col>
      <xdr:colOff>514350</xdr:colOff>
      <xdr:row>29</xdr:row>
      <xdr:rowOff>76200</xdr:rowOff>
    </xdr:from>
    <xdr:to>
      <xdr:col>5</xdr:col>
      <xdr:colOff>76200</xdr:colOff>
      <xdr:row>29</xdr:row>
      <xdr:rowOff>190500</xdr:rowOff>
    </xdr:to>
    <xdr:sp macro="" textlink="">
      <xdr:nvSpPr>
        <xdr:cNvPr id="12" name="오른쪽 화살표 72">
          <a:extLst>
            <a:ext uri="{FF2B5EF4-FFF2-40B4-BE49-F238E27FC236}">
              <a16:creationId xmlns:a16="http://schemas.microsoft.com/office/drawing/2014/main" id="{8CDB783D-9701-43BE-A8B6-8E3FC340C025}"/>
            </a:ext>
          </a:extLst>
        </xdr:cNvPr>
        <xdr:cNvSpPr>
          <a:spLocks noChangeArrowheads="1"/>
        </xdr:cNvSpPr>
      </xdr:nvSpPr>
      <xdr:spPr bwMode="auto">
        <a:xfrm>
          <a:off x="4333875" y="597217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</xdr:col>
      <xdr:colOff>177545</xdr:colOff>
      <xdr:row>28</xdr:row>
      <xdr:rowOff>34834</xdr:rowOff>
    </xdr:from>
    <xdr:to>
      <xdr:col>7</xdr:col>
      <xdr:colOff>596281</xdr:colOff>
      <xdr:row>33</xdr:row>
      <xdr:rowOff>0</xdr:rowOff>
    </xdr:to>
    <xdr:sp macro="" textlink="">
      <xdr:nvSpPr>
        <xdr:cNvPr id="13" name="액자 12">
          <a:extLst>
            <a:ext uri="{FF2B5EF4-FFF2-40B4-BE49-F238E27FC236}">
              <a16:creationId xmlns:a16="http://schemas.microsoft.com/office/drawing/2014/main" id="{5F25D09E-9513-40F0-959C-FC9770BC8A92}"/>
            </a:ext>
          </a:extLst>
        </xdr:cNvPr>
        <xdr:cNvSpPr/>
      </xdr:nvSpPr>
      <xdr:spPr bwMode="auto">
        <a:xfrm>
          <a:off x="4606670" y="5721259"/>
          <a:ext cx="1704611" cy="1012916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38100</xdr:colOff>
      <xdr:row>29</xdr:row>
      <xdr:rowOff>18756</xdr:rowOff>
    </xdr:from>
    <xdr:to>
      <xdr:col>8</xdr:col>
      <xdr:colOff>816597</xdr:colOff>
      <xdr:row>33</xdr:row>
      <xdr:rowOff>0</xdr:rowOff>
    </xdr:to>
    <xdr:sp macro="" textlink="">
      <xdr:nvSpPr>
        <xdr:cNvPr id="14" name="액자 13">
          <a:extLst>
            <a:ext uri="{FF2B5EF4-FFF2-40B4-BE49-F238E27FC236}">
              <a16:creationId xmlns:a16="http://schemas.microsoft.com/office/drawing/2014/main" id="{5988B177-3770-48FD-B4D8-D739D8BB7F5B}"/>
            </a:ext>
          </a:extLst>
        </xdr:cNvPr>
        <xdr:cNvSpPr/>
      </xdr:nvSpPr>
      <xdr:spPr bwMode="auto">
        <a:xfrm>
          <a:off x="6610350" y="5914731"/>
          <a:ext cx="778497" cy="81944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8</xdr:col>
      <xdr:colOff>58705</xdr:colOff>
      <xdr:row>27</xdr:row>
      <xdr:rowOff>196621</xdr:rowOff>
    </xdr:from>
    <xdr:to>
      <xdr:col>8</xdr:col>
      <xdr:colOff>809625</xdr:colOff>
      <xdr:row>28</xdr:row>
      <xdr:rowOff>200025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0FCEFE8-BCCF-40BB-872B-BA970331EC49}"/>
            </a:ext>
          </a:extLst>
        </xdr:cNvPr>
        <xdr:cNvSpPr txBox="1"/>
      </xdr:nvSpPr>
      <xdr:spPr>
        <a:xfrm>
          <a:off x="6630955" y="5673496"/>
          <a:ext cx="750920" cy="21295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상태</a:t>
          </a:r>
        </a:p>
      </xdr:txBody>
    </xdr:sp>
    <xdr:clientData/>
  </xdr:twoCellAnchor>
  <xdr:twoCellAnchor>
    <xdr:from>
      <xdr:col>5</xdr:col>
      <xdr:colOff>238125</xdr:colOff>
      <xdr:row>31</xdr:row>
      <xdr:rowOff>9525</xdr:rowOff>
    </xdr:from>
    <xdr:to>
      <xdr:col>7</xdr:col>
      <xdr:colOff>542323</xdr:colOff>
      <xdr:row>32</xdr:row>
      <xdr:rowOff>171450</xdr:rowOff>
    </xdr:to>
    <xdr:sp macro="" textlink="">
      <xdr:nvSpPr>
        <xdr:cNvPr id="16" name="액자 15">
          <a:extLst>
            <a:ext uri="{FF2B5EF4-FFF2-40B4-BE49-F238E27FC236}">
              <a16:creationId xmlns:a16="http://schemas.microsoft.com/office/drawing/2014/main" id="{0AE72871-96A5-4B05-BCEB-23CFDA02A21A}"/>
            </a:ext>
          </a:extLst>
        </xdr:cNvPr>
        <xdr:cNvSpPr/>
      </xdr:nvSpPr>
      <xdr:spPr bwMode="auto">
        <a:xfrm>
          <a:off x="4667250" y="6324600"/>
          <a:ext cx="1590073" cy="371475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5</xdr:col>
      <xdr:colOff>238125</xdr:colOff>
      <xdr:row>28</xdr:row>
      <xdr:rowOff>98767</xdr:rowOff>
    </xdr:from>
    <xdr:to>
      <xdr:col>7</xdr:col>
      <xdr:colOff>542323</xdr:colOff>
      <xdr:row>30</xdr:row>
      <xdr:rowOff>128715</xdr:rowOff>
    </xdr:to>
    <xdr:sp macro="" textlink="">
      <xdr:nvSpPr>
        <xdr:cNvPr id="17" name="액자 16">
          <a:extLst>
            <a:ext uri="{FF2B5EF4-FFF2-40B4-BE49-F238E27FC236}">
              <a16:creationId xmlns:a16="http://schemas.microsoft.com/office/drawing/2014/main" id="{5EF828AB-56B6-4065-A7E0-EFFA412F4B1C}"/>
            </a:ext>
          </a:extLst>
        </xdr:cNvPr>
        <xdr:cNvSpPr/>
      </xdr:nvSpPr>
      <xdr:spPr bwMode="auto">
        <a:xfrm>
          <a:off x="4667250" y="5785192"/>
          <a:ext cx="1590073" cy="449048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twoCellAnchor>
    <xdr:from>
      <xdr:col>6</xdr:col>
      <xdr:colOff>7950</xdr:colOff>
      <xdr:row>27</xdr:row>
      <xdr:rowOff>16600</xdr:rowOff>
    </xdr:from>
    <xdr:to>
      <xdr:col>7</xdr:col>
      <xdr:colOff>187056</xdr:colOff>
      <xdr:row>28</xdr:row>
      <xdr:rowOff>2585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773FB330-7E22-4122-B444-8582F317D497}"/>
            </a:ext>
          </a:extLst>
        </xdr:cNvPr>
        <xdr:cNvSpPr txBox="1"/>
      </xdr:nvSpPr>
      <xdr:spPr>
        <a:xfrm>
          <a:off x="5046675" y="5493475"/>
          <a:ext cx="855381" cy="195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800" b="1"/>
            <a:t>부주의 행동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1495425</xdr:colOff>
          <xdr:row>22</xdr:row>
          <xdr:rowOff>114300</xdr:rowOff>
        </xdr:from>
        <xdr:to>
          <xdr:col>2</xdr:col>
          <xdr:colOff>95250</xdr:colOff>
          <xdr:row>31</xdr:row>
          <xdr:rowOff>95250</xdr:rowOff>
        </xdr:to>
        <xdr:grpSp>
          <xdr:nvGrpSpPr>
            <xdr:cNvPr id="19" name="그룹 8">
              <a:extLst>
                <a:ext uri="{FF2B5EF4-FFF2-40B4-BE49-F238E27FC236}">
                  <a16:creationId xmlns:a16="http://schemas.microsoft.com/office/drawing/2014/main" id="{1C9629F5-E56F-437C-A5C0-0D2E7BA69F9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94817" y="4568757"/>
              <a:ext cx="1078149" cy="1819073"/>
              <a:chOff x="903513" y="4495523"/>
              <a:chExt cx="1122959" cy="1545362"/>
            </a:xfrm>
          </xdr:grpSpPr>
          <xdr:sp macro="" textlink="">
            <xdr:nvSpPr>
              <xdr:cNvPr id="5155" name="Check Box 35" hidden="1">
                <a:extLst>
                  <a:ext uri="{63B3BB69-23CF-44E3-9099-C40C66FF867C}">
                    <a14:compatExt spid="_x0000_s5155"/>
                  </a:ext>
                  <a:ext uri="{FF2B5EF4-FFF2-40B4-BE49-F238E27FC236}">
                    <a16:creationId xmlns:a16="http://schemas.microsoft.com/office/drawing/2014/main" id="{00000000-0008-0000-1F00-000023800000}"/>
                  </a:ext>
                </a:extLst>
              </xdr:cNvPr>
              <xdr:cNvSpPr/>
            </xdr:nvSpPr>
            <xdr:spPr bwMode="auto">
              <a:xfrm>
                <a:off x="903513" y="5580150"/>
                <a:ext cx="859643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절단/찰과상</a:t>
                </a:r>
              </a:p>
            </xdr:txBody>
          </xdr:sp>
          <xdr:sp macro="" textlink="">
            <xdr:nvSpPr>
              <xdr:cNvPr id="5156" name="Check Box 36" hidden="1">
                <a:extLst>
                  <a:ext uri="{63B3BB69-23CF-44E3-9099-C40C66FF867C}">
                    <a14:compatExt spid="_x0000_s5156"/>
                  </a:ext>
                  <a:ext uri="{FF2B5EF4-FFF2-40B4-BE49-F238E27FC236}">
                    <a16:creationId xmlns:a16="http://schemas.microsoft.com/office/drawing/2014/main" id="{00000000-0008-0000-1F00-000024800000}"/>
                  </a:ext>
                </a:extLst>
              </xdr:cNvPr>
              <xdr:cNvSpPr/>
            </xdr:nvSpPr>
            <xdr:spPr bwMode="auto">
              <a:xfrm>
                <a:off x="903513" y="5756514"/>
                <a:ext cx="709414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분류 불능</a:t>
                </a:r>
              </a:p>
            </xdr:txBody>
          </xdr:sp>
          <xdr:sp macro="" textlink="">
            <xdr:nvSpPr>
              <xdr:cNvPr id="5157" name="Check Box 37" hidden="1">
                <a:extLst>
                  <a:ext uri="{63B3BB69-23CF-44E3-9099-C40C66FF867C}">
                    <a14:compatExt spid="_x0000_s5157"/>
                  </a:ext>
                  <a:ext uri="{FF2B5EF4-FFF2-40B4-BE49-F238E27FC236}">
                    <a16:creationId xmlns:a16="http://schemas.microsoft.com/office/drawing/2014/main" id="{00000000-0008-0000-1F00-000025800000}"/>
                  </a:ext>
                </a:extLst>
              </xdr:cNvPr>
              <xdr:cNvSpPr/>
            </xdr:nvSpPr>
            <xdr:spPr bwMode="auto">
              <a:xfrm>
                <a:off x="903513" y="4495523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화상/동상</a:t>
                </a:r>
              </a:p>
            </xdr:txBody>
          </xdr:sp>
          <xdr:sp macro="" textlink="">
            <xdr:nvSpPr>
              <xdr:cNvPr id="5158" name="Check Box 38" hidden="1">
                <a:extLst>
                  <a:ext uri="{63B3BB69-23CF-44E3-9099-C40C66FF867C}">
                    <a14:compatExt spid="_x0000_s5158"/>
                  </a:ext>
                  <a:ext uri="{FF2B5EF4-FFF2-40B4-BE49-F238E27FC236}">
                    <a16:creationId xmlns:a16="http://schemas.microsoft.com/office/drawing/2014/main" id="{00000000-0008-0000-1F00-000026800000}"/>
                  </a:ext>
                </a:extLst>
              </xdr:cNvPr>
              <xdr:cNvSpPr/>
            </xdr:nvSpPr>
            <xdr:spPr bwMode="auto">
              <a:xfrm>
                <a:off x="903513" y="4671891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기타</a:t>
                </a:r>
              </a:p>
            </xdr:txBody>
          </xdr:sp>
          <xdr:sp macro="" textlink="">
            <xdr:nvSpPr>
              <xdr:cNvPr id="5159" name="Check Box 39" hidden="1">
                <a:extLst>
                  <a:ext uri="{63B3BB69-23CF-44E3-9099-C40C66FF867C}">
                    <a14:compatExt spid="_x0000_s5159"/>
                  </a:ext>
                  <a:ext uri="{FF2B5EF4-FFF2-40B4-BE49-F238E27FC236}">
                    <a16:creationId xmlns:a16="http://schemas.microsoft.com/office/drawing/2014/main" id="{00000000-0008-0000-1F00-000027800000}"/>
                  </a:ext>
                </a:extLst>
              </xdr:cNvPr>
              <xdr:cNvSpPr/>
            </xdr:nvSpPr>
            <xdr:spPr bwMode="auto">
              <a:xfrm>
                <a:off x="903513" y="4848255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설비 사고</a:t>
                </a:r>
              </a:p>
            </xdr:txBody>
          </xdr:sp>
          <xdr:sp macro="" textlink="">
            <xdr:nvSpPr>
              <xdr:cNvPr id="5160" name="Check Box 40" hidden="1">
                <a:extLst>
                  <a:ext uri="{63B3BB69-23CF-44E3-9099-C40C66FF867C}">
                    <a14:compatExt spid="_x0000_s5160"/>
                  </a:ext>
                  <a:ext uri="{FF2B5EF4-FFF2-40B4-BE49-F238E27FC236}">
                    <a16:creationId xmlns:a16="http://schemas.microsoft.com/office/drawing/2014/main" id="{00000000-0008-0000-1F00-000028800000}"/>
                  </a:ext>
                </a:extLst>
              </xdr:cNvPr>
              <xdr:cNvSpPr/>
            </xdr:nvSpPr>
            <xdr:spPr bwMode="auto">
              <a:xfrm>
                <a:off x="903513" y="5024619"/>
                <a:ext cx="1122959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유해물질 접촉</a:t>
                </a:r>
              </a:p>
            </xdr:txBody>
          </xdr:sp>
          <xdr:sp macro="" textlink="">
            <xdr:nvSpPr>
              <xdr:cNvPr id="5161" name="Check Box 41" hidden="1">
                <a:extLst>
                  <a:ext uri="{63B3BB69-23CF-44E3-9099-C40C66FF867C}">
                    <a14:compatExt spid="_x0000_s5161"/>
                  </a:ext>
                  <a:ext uri="{FF2B5EF4-FFF2-40B4-BE49-F238E27FC236}">
                    <a16:creationId xmlns:a16="http://schemas.microsoft.com/office/drawing/2014/main" id="{00000000-0008-0000-1F00-000029800000}"/>
                  </a:ext>
                </a:extLst>
              </xdr:cNvPr>
              <xdr:cNvSpPr/>
            </xdr:nvSpPr>
            <xdr:spPr bwMode="auto">
              <a:xfrm>
                <a:off x="903513" y="5200983"/>
                <a:ext cx="1008020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화재/폭발</a:t>
                </a:r>
              </a:p>
            </xdr:txBody>
          </xdr:sp>
          <xdr:sp macro="" textlink="">
            <xdr:nvSpPr>
              <xdr:cNvPr id="5162" name="Check Box 42" hidden="1">
                <a:extLst>
                  <a:ext uri="{63B3BB69-23CF-44E3-9099-C40C66FF867C}">
                    <a14:compatExt spid="_x0000_s5162"/>
                  </a:ext>
                  <a:ext uri="{FF2B5EF4-FFF2-40B4-BE49-F238E27FC236}">
                    <a16:creationId xmlns:a16="http://schemas.microsoft.com/office/drawing/2014/main" id="{00000000-0008-0000-1F00-00002A800000}"/>
                  </a:ext>
                </a:extLst>
              </xdr:cNvPr>
              <xdr:cNvSpPr/>
            </xdr:nvSpPr>
            <xdr:spPr bwMode="auto">
              <a:xfrm>
                <a:off x="903513" y="5377347"/>
                <a:ext cx="1003665" cy="134439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익사</a:t>
                </a:r>
              </a:p>
            </xdr:txBody>
          </xdr:sp>
          <xdr:sp macro="" textlink="">
            <xdr:nvSpPr>
              <xdr:cNvPr id="5163" name="Check Box 43" hidden="1">
                <a:extLst>
                  <a:ext uri="{63B3BB69-23CF-44E3-9099-C40C66FF867C}">
                    <a14:compatExt spid="_x0000_s5163"/>
                  </a:ext>
                  <a:ext uri="{FF2B5EF4-FFF2-40B4-BE49-F238E27FC236}">
                    <a16:creationId xmlns:a16="http://schemas.microsoft.com/office/drawing/2014/main" id="{00000000-0008-0000-1F00-00002B800000}"/>
                  </a:ext>
                </a:extLst>
              </xdr:cNvPr>
              <xdr:cNvSpPr/>
            </xdr:nvSpPr>
            <xdr:spPr bwMode="auto">
              <a:xfrm>
                <a:off x="903513" y="5932885"/>
                <a:ext cx="752407" cy="10800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차량사고</a:t>
                </a:r>
              </a:p>
            </xdr:txBody>
          </xdr:sp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590550</xdr:colOff>
          <xdr:row>22</xdr:row>
          <xdr:rowOff>114300</xdr:rowOff>
        </xdr:from>
        <xdr:to>
          <xdr:col>0</xdr:col>
          <xdr:colOff>1390650</xdr:colOff>
          <xdr:row>31</xdr:row>
          <xdr:rowOff>95250</xdr:rowOff>
        </xdr:to>
        <xdr:grpSp>
          <xdr:nvGrpSpPr>
            <xdr:cNvPr id="20" name="그룹 4">
              <a:extLst>
                <a:ext uri="{FF2B5EF4-FFF2-40B4-BE49-F238E27FC236}">
                  <a16:creationId xmlns:a16="http://schemas.microsoft.com/office/drawing/2014/main" id="{D153E2C7-B89A-475E-B986-5E7147D00C8B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90145" y="4568757"/>
              <a:ext cx="800910" cy="1819073"/>
              <a:chOff x="1676400" y="4286246"/>
              <a:chExt cx="800100" cy="1514493"/>
            </a:xfrm>
          </xdr:grpSpPr>
          <xdr:sp macro="" textlink="">
            <xdr:nvSpPr>
              <xdr:cNvPr id="5164" name="Check Box 44" hidden="1">
                <a:extLst>
                  <a:ext uri="{63B3BB69-23CF-44E3-9099-C40C66FF867C}">
                    <a14:compatExt spid="_x0000_s5164"/>
                  </a:ext>
                  <a:ext uri="{FF2B5EF4-FFF2-40B4-BE49-F238E27FC236}">
                    <a16:creationId xmlns:a16="http://schemas.microsoft.com/office/drawing/2014/main" id="{00000000-0008-0000-1F00-00002C800000}"/>
                  </a:ext>
                </a:extLst>
              </xdr:cNvPr>
              <xdr:cNvSpPr/>
            </xdr:nvSpPr>
            <xdr:spPr bwMode="auto">
              <a:xfrm>
                <a:off x="1676400" y="5349200"/>
                <a:ext cx="612489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협착</a:t>
                </a:r>
              </a:p>
            </xdr:txBody>
          </xdr:sp>
          <xdr:sp macro="" textlink="">
            <xdr:nvSpPr>
              <xdr:cNvPr id="5165" name="Check Box 45" hidden="1">
                <a:extLst>
                  <a:ext uri="{63B3BB69-23CF-44E3-9099-C40C66FF867C}">
                    <a14:compatExt spid="_x0000_s5165"/>
                  </a:ext>
                  <a:ext uri="{FF2B5EF4-FFF2-40B4-BE49-F238E27FC236}">
                    <a16:creationId xmlns:a16="http://schemas.microsoft.com/office/drawing/2014/main" id="{00000000-0008-0000-1F00-00002D800000}"/>
                  </a:ext>
                </a:extLst>
              </xdr:cNvPr>
              <xdr:cNvSpPr/>
            </xdr:nvSpPr>
            <xdr:spPr bwMode="auto">
              <a:xfrm>
                <a:off x="1676400" y="5522039"/>
                <a:ext cx="505452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감전</a:t>
                </a:r>
              </a:p>
            </xdr:txBody>
          </xdr:sp>
          <xdr:sp macro="" textlink="">
            <xdr:nvSpPr>
              <xdr:cNvPr id="5166" name="Check Box 46" descr="추락" hidden="1">
                <a:extLst>
                  <a:ext uri="{63B3BB69-23CF-44E3-9099-C40C66FF867C}">
                    <a14:compatExt spid="_x0000_s5166"/>
                  </a:ext>
                  <a:ext uri="{FF2B5EF4-FFF2-40B4-BE49-F238E27FC236}">
                    <a16:creationId xmlns:a16="http://schemas.microsoft.com/office/drawing/2014/main" id="{00000000-0008-0000-1F00-00002E800000}"/>
                  </a:ext>
                </a:extLst>
              </xdr:cNvPr>
              <xdr:cNvSpPr/>
            </xdr:nvSpPr>
            <xdr:spPr bwMode="auto">
              <a:xfrm>
                <a:off x="1676400" y="4286246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추락</a:t>
                </a:r>
              </a:p>
            </xdr:txBody>
          </xdr:sp>
          <xdr:sp macro="" textlink="">
            <xdr:nvSpPr>
              <xdr:cNvPr id="5167" name="Check Box 47" hidden="1">
                <a:extLst>
                  <a:ext uri="{63B3BB69-23CF-44E3-9099-C40C66FF867C}">
                    <a14:compatExt spid="_x0000_s5167"/>
                  </a:ext>
                  <a:ext uri="{FF2B5EF4-FFF2-40B4-BE49-F238E27FC236}">
                    <a16:creationId xmlns:a16="http://schemas.microsoft.com/office/drawing/2014/main" id="{00000000-0008-0000-1F00-00002F800000}"/>
                  </a:ext>
                </a:extLst>
              </xdr:cNvPr>
              <xdr:cNvSpPr/>
            </xdr:nvSpPr>
            <xdr:spPr bwMode="auto">
              <a:xfrm>
                <a:off x="1676400" y="445909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전도</a:t>
                </a:r>
              </a:p>
            </xdr:txBody>
          </xdr:sp>
          <xdr:sp macro="" textlink="">
            <xdr:nvSpPr>
              <xdr:cNvPr id="5168" name="Check Box 48" hidden="1">
                <a:extLst>
                  <a:ext uri="{63B3BB69-23CF-44E3-9099-C40C66FF867C}">
                    <a14:compatExt spid="_x0000_s5168"/>
                  </a:ext>
                  <a:ext uri="{FF2B5EF4-FFF2-40B4-BE49-F238E27FC236}">
                    <a16:creationId xmlns:a16="http://schemas.microsoft.com/office/drawing/2014/main" id="{00000000-0008-0000-1F00-000030800000}"/>
                  </a:ext>
                </a:extLst>
              </xdr:cNvPr>
              <xdr:cNvSpPr/>
            </xdr:nvSpPr>
            <xdr:spPr bwMode="auto">
              <a:xfrm>
                <a:off x="1676400" y="4631930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충돌</a:t>
                </a:r>
              </a:p>
            </xdr:txBody>
          </xdr:sp>
          <xdr:sp macro="" textlink="">
            <xdr:nvSpPr>
              <xdr:cNvPr id="5169" name="Check Box 49" hidden="1">
                <a:extLst>
                  <a:ext uri="{63B3BB69-23CF-44E3-9099-C40C66FF867C}">
                    <a14:compatExt spid="_x0000_s5169"/>
                  </a:ext>
                  <a:ext uri="{FF2B5EF4-FFF2-40B4-BE49-F238E27FC236}">
                    <a16:creationId xmlns:a16="http://schemas.microsoft.com/office/drawing/2014/main" id="{00000000-0008-0000-1F00-000031800000}"/>
                  </a:ext>
                </a:extLst>
              </xdr:cNvPr>
              <xdr:cNvSpPr/>
            </xdr:nvSpPr>
            <xdr:spPr bwMode="auto">
              <a:xfrm>
                <a:off x="1676400" y="4804769"/>
                <a:ext cx="800100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낙하</a:t>
                </a:r>
              </a:p>
            </xdr:txBody>
          </xdr:sp>
          <xdr:sp macro="" textlink="">
            <xdr:nvSpPr>
              <xdr:cNvPr id="5170" name="Check Box 50" hidden="1">
                <a:extLst>
                  <a:ext uri="{63B3BB69-23CF-44E3-9099-C40C66FF867C}">
                    <a14:compatExt spid="_x0000_s5170"/>
                  </a:ext>
                  <a:ext uri="{FF2B5EF4-FFF2-40B4-BE49-F238E27FC236}">
                    <a16:creationId xmlns:a16="http://schemas.microsoft.com/office/drawing/2014/main" id="{00000000-0008-0000-1F00-000032800000}"/>
                  </a:ext>
                </a:extLst>
              </xdr:cNvPr>
              <xdr:cNvSpPr/>
            </xdr:nvSpPr>
            <xdr:spPr bwMode="auto">
              <a:xfrm>
                <a:off x="1676400" y="4977609"/>
                <a:ext cx="718206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비래</a:t>
                </a:r>
              </a:p>
            </xdr:txBody>
          </xdr:sp>
          <xdr:sp macro="" textlink="">
            <xdr:nvSpPr>
              <xdr:cNvPr id="5171" name="Check Box 51" hidden="1">
                <a:extLst>
                  <a:ext uri="{63B3BB69-23CF-44E3-9099-C40C66FF867C}">
                    <a14:compatExt spid="_x0000_s5171"/>
                  </a:ext>
                  <a:ext uri="{FF2B5EF4-FFF2-40B4-BE49-F238E27FC236}">
                    <a16:creationId xmlns:a16="http://schemas.microsoft.com/office/drawing/2014/main" id="{00000000-0008-0000-1F00-000033800000}"/>
                  </a:ext>
                </a:extLst>
              </xdr:cNvPr>
              <xdr:cNvSpPr/>
            </xdr:nvSpPr>
            <xdr:spPr bwMode="auto">
              <a:xfrm>
                <a:off x="1676400" y="5150449"/>
                <a:ext cx="715104" cy="131753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붕괴(묻힘)</a:t>
                </a:r>
              </a:p>
            </xdr:txBody>
          </xdr:sp>
          <xdr:sp macro="" textlink="">
            <xdr:nvSpPr>
              <xdr:cNvPr id="5172" name="Check Box 52" hidden="1">
                <a:extLst>
                  <a:ext uri="{63B3BB69-23CF-44E3-9099-C40C66FF867C}">
                    <a14:compatExt spid="_x0000_s5172"/>
                  </a:ext>
                  <a:ext uri="{FF2B5EF4-FFF2-40B4-BE49-F238E27FC236}">
                    <a16:creationId xmlns:a16="http://schemas.microsoft.com/office/drawing/2014/main" id="{00000000-0008-0000-1F00-000034800000}"/>
                  </a:ext>
                </a:extLst>
              </xdr:cNvPr>
              <xdr:cNvSpPr/>
            </xdr:nvSpPr>
            <xdr:spPr bwMode="auto">
              <a:xfrm>
                <a:off x="1676400" y="5694897"/>
                <a:ext cx="536084" cy="10584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>
                    <a:solidFill>
                      <a:srgbClr val="FFFFFF" mc:Ignorable="a14" a14:legacySpreadsheetColorIndex="9"/>
                    </a:solidFill>
                  </a14:hiddenFill>
                </a:ext>
                <a:ext uri="{91240B29-F687-4F45-9708-019B960494DF}">
                  <a14:hiddenLine w="9525">
                    <a:solidFill>
                      <a:srgbClr val="000000" mc:Ignorable="a14" a14:legacySpreadsheetColorIndex="64"/>
                    </a:solidFill>
                    <a:miter lim="800000"/>
                    <a:headEnd/>
                    <a:tailEnd/>
                  </a14:hiddenLine>
                </a:ext>
              </a:extLst>
            </xdr:spPr>
            <xdr:txBody>
              <a:bodyPr vertOverflow="clip" wrap="square" lIns="27432" tIns="22860" rIns="0" bIns="22860" anchor="ctr" upright="1"/>
              <a:lstStyle/>
              <a:p>
                <a:pPr algn="l" rtl="0">
                  <a:defRPr sz="1000"/>
                </a:pPr>
                <a:r>
                  <a:rPr lang="ko-KR" altLang="en-US" sz="900" b="0" i="0" u="none" strike="noStrike" baseline="0">
                    <a:solidFill>
                      <a:srgbClr val="000000"/>
                    </a:solidFill>
                    <a:latin typeface="Malgun Gothic"/>
                    <a:ea typeface="Malgun Gothic"/>
                  </a:rPr>
                  <a:t> 요통</a:t>
                </a:r>
              </a:p>
            </xdr:txBody>
          </xdr:sp>
        </xdr:grpSp>
        <xdr:clientData/>
      </xdr:twoCellAnchor>
    </mc:Choice>
    <mc:Fallback/>
  </mc:AlternateContent>
  <xdr:twoCellAnchor>
    <xdr:from>
      <xdr:col>2</xdr:col>
      <xdr:colOff>333375</xdr:colOff>
      <xdr:row>23</xdr:row>
      <xdr:rowOff>133350</xdr:rowOff>
    </xdr:from>
    <xdr:to>
      <xdr:col>2</xdr:col>
      <xdr:colOff>504825</xdr:colOff>
      <xdr:row>24</xdr:row>
      <xdr:rowOff>47625</xdr:rowOff>
    </xdr:to>
    <xdr:sp macro="" textlink="">
      <xdr:nvSpPr>
        <xdr:cNvPr id="21" name="오른쪽 화살표 72">
          <a:extLst>
            <a:ext uri="{FF2B5EF4-FFF2-40B4-BE49-F238E27FC236}">
              <a16:creationId xmlns:a16="http://schemas.microsoft.com/office/drawing/2014/main" id="{C151B86F-2F6B-41DF-A5FC-16D9D61EEF54}"/>
            </a:ext>
          </a:extLst>
        </xdr:cNvPr>
        <xdr:cNvSpPr>
          <a:spLocks noChangeArrowheads="1"/>
        </xdr:cNvSpPr>
      </xdr:nvSpPr>
      <xdr:spPr bwMode="auto">
        <a:xfrm rot="-1831606">
          <a:off x="2809875" y="4810125"/>
          <a:ext cx="171450" cy="114300"/>
        </a:xfrm>
        <a:prstGeom prst="rightArrow">
          <a:avLst>
            <a:gd name="adj1" fmla="val 50000"/>
            <a:gd name="adj2" fmla="val 51694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</xdr:col>
      <xdr:colOff>333375</xdr:colOff>
      <xdr:row>27</xdr:row>
      <xdr:rowOff>95250</xdr:rowOff>
    </xdr:from>
    <xdr:to>
      <xdr:col>2</xdr:col>
      <xdr:colOff>504825</xdr:colOff>
      <xdr:row>27</xdr:row>
      <xdr:rowOff>209550</xdr:rowOff>
    </xdr:to>
    <xdr:sp macro="" textlink="">
      <xdr:nvSpPr>
        <xdr:cNvPr id="22" name="오른쪽 화살표 72">
          <a:extLst>
            <a:ext uri="{FF2B5EF4-FFF2-40B4-BE49-F238E27FC236}">
              <a16:creationId xmlns:a16="http://schemas.microsoft.com/office/drawing/2014/main" id="{EAE2F009-BED9-4472-9451-1EB30380762E}"/>
            </a:ext>
          </a:extLst>
        </xdr:cNvPr>
        <xdr:cNvSpPr>
          <a:spLocks noChangeArrowheads="1"/>
        </xdr:cNvSpPr>
      </xdr:nvSpPr>
      <xdr:spPr bwMode="auto">
        <a:xfrm rot="2161001">
          <a:off x="2809875" y="5572125"/>
          <a:ext cx="171450" cy="114300"/>
        </a:xfrm>
        <a:prstGeom prst="rightArrow">
          <a:avLst>
            <a:gd name="adj1" fmla="val 50000"/>
            <a:gd name="adj2" fmla="val 51083"/>
          </a:avLst>
        </a:prstGeom>
        <a:solidFill>
          <a:srgbClr val="000000"/>
        </a:solidFill>
        <a:ln w="9525" algn="ctr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457200</xdr:colOff>
      <xdr:row>21</xdr:row>
      <xdr:rowOff>142581</xdr:rowOff>
    </xdr:from>
    <xdr:to>
      <xdr:col>2</xdr:col>
      <xdr:colOff>76200</xdr:colOff>
      <xdr:row>31</xdr:row>
      <xdr:rowOff>200025</xdr:rowOff>
    </xdr:to>
    <xdr:sp macro="" textlink="">
      <xdr:nvSpPr>
        <xdr:cNvPr id="23" name="액자 22">
          <a:extLst>
            <a:ext uri="{FF2B5EF4-FFF2-40B4-BE49-F238E27FC236}">
              <a16:creationId xmlns:a16="http://schemas.microsoft.com/office/drawing/2014/main" id="{43674765-E9D4-4685-88E8-190D9C706722}"/>
            </a:ext>
          </a:extLst>
        </xdr:cNvPr>
        <xdr:cNvSpPr/>
      </xdr:nvSpPr>
      <xdr:spPr bwMode="auto">
        <a:xfrm>
          <a:off x="457200" y="4419306"/>
          <a:ext cx="2095500" cy="2095794"/>
        </a:xfrm>
        <a:prstGeom prst="frame">
          <a:avLst>
            <a:gd name="adj1" fmla="val 0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endParaRPr lang="ko-KR" altLang="en-US"/>
        </a:p>
      </xdr:txBody>
    </xdr:sp>
    <xdr:clientData/>
  </xdr:twoCellAnchor>
  <xdr:oneCellAnchor>
    <xdr:from>
      <xdr:col>3</xdr:col>
      <xdr:colOff>47625</xdr:colOff>
      <xdr:row>17</xdr:row>
      <xdr:rowOff>9525</xdr:rowOff>
    </xdr:from>
    <xdr:ext cx="219075" cy="198783"/>
    <xdr:pic>
      <xdr:nvPicPr>
        <xdr:cNvPr id="24" name="그림 85">
          <a:extLst>
            <a:ext uri="{FF2B5EF4-FFF2-40B4-BE49-F238E27FC236}">
              <a16:creationId xmlns:a16="http://schemas.microsoft.com/office/drawing/2014/main" id="{6B699DD8-A31E-4D40-8989-73224CBCBD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3486150"/>
          <a:ext cx="219075" cy="1987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3</xdr:col>
      <xdr:colOff>47625</xdr:colOff>
      <xdr:row>25</xdr:row>
      <xdr:rowOff>190500</xdr:rowOff>
    </xdr:from>
    <xdr:ext cx="219075" cy="216591"/>
    <xdr:pic>
      <xdr:nvPicPr>
        <xdr:cNvPr id="25" name="그림 86">
          <a:extLst>
            <a:ext uri="{FF2B5EF4-FFF2-40B4-BE49-F238E27FC236}">
              <a16:creationId xmlns:a16="http://schemas.microsoft.com/office/drawing/2014/main" id="{B6A3880A-AE96-461F-A050-A9EA6B6E8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1350" y="5267325"/>
          <a:ext cx="219075" cy="2165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>
    <xdr:from>
      <xdr:col>0</xdr:col>
      <xdr:colOff>1057274</xdr:colOff>
      <xdr:row>17</xdr:row>
      <xdr:rowOff>9524</xdr:rowOff>
    </xdr:from>
    <xdr:to>
      <xdr:col>0</xdr:col>
      <xdr:colOff>1257300</xdr:colOff>
      <xdr:row>17</xdr:row>
      <xdr:rowOff>190499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3BFB8CD3-0B0B-42EF-819E-DAACD81AD615}"/>
            </a:ext>
          </a:extLst>
        </xdr:cNvPr>
        <xdr:cNvSpPr/>
      </xdr:nvSpPr>
      <xdr:spPr bwMode="auto">
        <a:xfrm>
          <a:off x="1057274" y="3486149"/>
          <a:ext cx="200026" cy="180975"/>
        </a:xfrm>
        <a:prstGeom prst="ellips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r>
            <a:rPr lang="en-US" altLang="ko-KR" sz="1600"/>
            <a:t>1</a:t>
          </a:r>
          <a:endParaRPr lang="ko-KR" altLang="en-US" sz="16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windows\TEMP\&#51228;&#50504;&#51648;&#528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`98지침"/>
      <sheetName val="`99.9지침 "/>
      <sheetName val="99.9제안흐름"/>
      <sheetName val="표지목차"/>
      <sheetName val="제안흐름도"/>
      <sheetName val="`97지침"/>
      <sheetName val="신흐름도"/>
      <sheetName val="FLOW"/>
      <sheetName val="효과산출"/>
      <sheetName val="INCENTIVE"/>
      <sheetName val="제안양식(앞면)"/>
      <sheetName val="제안양식(뒷면)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E8110D85-5FDC-4042-91DC-B224711544B1}" autoFormatId="16" applyNumberFormats="0" applyBorderFormats="0" applyFontFormats="0" applyPatternFormats="0" applyAlignmentFormats="0" applyWidthHeightFormats="0">
  <queryTableRefresh nextId="24">
    <queryTableFields count="14">
      <queryTableField id="1" name="보고서ID" tableColumnId="1"/>
      <queryTableField id="11" name="작성자명" tableColumnId="11"/>
      <queryTableField id="2" name="제목" tableColumnId="2"/>
      <queryTableField id="3" name="발생일시" tableColumnId="3"/>
      <queryTableField id="4" name="발생장소" tableColumnId="4"/>
      <queryTableField id="7" name="내용" tableColumnId="7"/>
      <queryTableField id="8" name="원인" tableColumnId="8"/>
      <queryTableField id="6" name="사고유형" tableColumnId="6"/>
      <queryTableField id="14" name="불안전한 상태" tableColumnId="13"/>
      <queryTableField id="15" name="불안전한 행동" tableColumnId="14"/>
      <queryTableField id="16" name="부주의한 행동" tableColumnId="15"/>
      <queryTableField id="17" name="부주의한 상태" tableColumnId="16"/>
      <queryTableField id="9" name="즉시조치" tableColumnId="9"/>
      <queryTableField id="10" name="재발방지대책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D3CEC95-A237-4E06-B026-1D341D879F25}" name="near_miss_excel_view__2" displayName="near_miss_excel_view__2" ref="A1:N62" tableType="queryTable" totalsRowShown="0" headerRowDxfId="14">
  <autoFilter ref="A1:N62" xr:uid="{AD3CEC95-A237-4E06-B026-1D341D879F25}"/>
  <sortState xmlns:xlrd2="http://schemas.microsoft.com/office/spreadsheetml/2017/richdata2" ref="A2:N62">
    <sortCondition ref="D2:D62"/>
  </sortState>
  <tableColumns count="14">
    <tableColumn id="1" xr3:uid="{B33A53A1-6B75-4667-B075-566417E7B06B}" uniqueName="1" name="보고서ID" queryTableFieldId="1" dataDxfId="13"/>
    <tableColumn id="11" xr3:uid="{FA7ECF0F-9DD7-4B7C-ABD1-247C9481D776}" uniqueName="11" name="작성자명" queryTableFieldId="11" dataDxfId="12"/>
    <tableColumn id="2" xr3:uid="{BB9CACAF-AE6F-4D4D-9485-990D7B5E16F7}" uniqueName="2" name="제목" queryTableFieldId="2" dataDxfId="11"/>
    <tableColumn id="3" xr3:uid="{BFAD78E3-265E-486B-8867-5A44F35E00FF}" uniqueName="3" name="발생일시" queryTableFieldId="3" dataDxfId="10"/>
    <tableColumn id="4" xr3:uid="{0B5AB554-C8A6-40C3-BDC6-45BFB3A8E5CA}" uniqueName="4" name="발생장소" queryTableFieldId="4" dataDxfId="9"/>
    <tableColumn id="7" xr3:uid="{938F9B43-2E34-411B-8C33-17E330604BC5}" uniqueName="7" name="내용" queryTableFieldId="7" dataDxfId="8"/>
    <tableColumn id="8" xr3:uid="{A47FE710-4D11-4657-A206-7F6BD43F527C}" uniqueName="8" name="원인" queryTableFieldId="8" dataDxfId="7"/>
    <tableColumn id="6" xr3:uid="{0EC3BEA2-DC8E-4BE4-B635-414CE55C681B}" uniqueName="6" name="사고유형" queryTableFieldId="6" dataDxfId="6"/>
    <tableColumn id="13" xr3:uid="{C7451BF5-29CD-42E9-9EE7-CBAAB9D5118E}" uniqueName="13" name="불안전한 상태" queryTableFieldId="14" dataDxfId="5"/>
    <tableColumn id="14" xr3:uid="{238226C0-AEA3-45DE-86FB-F46919CBAA2D}" uniqueName="14" name="불안전한 행동" queryTableFieldId="15" dataDxfId="4"/>
    <tableColumn id="15" xr3:uid="{E9D9507E-17AF-4009-A98F-518DBAE97228}" uniqueName="15" name="부주의한 행동" queryTableFieldId="16" dataDxfId="3"/>
    <tableColumn id="16" xr3:uid="{9CBD65ED-D8DF-48D4-9669-AFF00BC23A4B}" uniqueName="16" name="부주의한 상태" queryTableFieldId="17" dataDxfId="2"/>
    <tableColumn id="9" xr3:uid="{0A2E0D7A-060B-4DD1-90F1-742AE7384E1D}" uniqueName="9" name="즉시조치" queryTableFieldId="9" dataDxfId="1"/>
    <tableColumn id="10" xr3:uid="{1D9631AB-8F6A-415B-8C9B-7C1F10E3BE87}" uniqueName="10" name="재발방지대책" queryTableFieldId="10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9" Type="http://schemas.openxmlformats.org/officeDocument/2006/relationships/ctrlProp" Target="../ctrlProps/ctrlProp36.xml"/><Relationship Id="rId21" Type="http://schemas.openxmlformats.org/officeDocument/2006/relationships/ctrlProp" Target="../ctrlProps/ctrlProp18.xml"/><Relationship Id="rId34" Type="http://schemas.openxmlformats.org/officeDocument/2006/relationships/ctrlProp" Target="../ctrlProps/ctrlProp31.xml"/><Relationship Id="rId42" Type="http://schemas.openxmlformats.org/officeDocument/2006/relationships/ctrlProp" Target="../ctrlProps/ctrlProp39.xml"/><Relationship Id="rId47" Type="http://schemas.openxmlformats.org/officeDocument/2006/relationships/ctrlProp" Target="../ctrlProps/ctrlProp44.xml"/><Relationship Id="rId50" Type="http://schemas.openxmlformats.org/officeDocument/2006/relationships/ctrlProp" Target="../ctrlProps/ctrlProp47.xml"/><Relationship Id="rId55" Type="http://schemas.openxmlformats.org/officeDocument/2006/relationships/ctrlProp" Target="../ctrlProps/ctrlProp52.x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9" Type="http://schemas.openxmlformats.org/officeDocument/2006/relationships/ctrlProp" Target="../ctrlProps/ctrlProp26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32" Type="http://schemas.openxmlformats.org/officeDocument/2006/relationships/ctrlProp" Target="../ctrlProps/ctrlProp29.xml"/><Relationship Id="rId37" Type="http://schemas.openxmlformats.org/officeDocument/2006/relationships/ctrlProp" Target="../ctrlProps/ctrlProp34.xml"/><Relationship Id="rId40" Type="http://schemas.openxmlformats.org/officeDocument/2006/relationships/ctrlProp" Target="../ctrlProps/ctrlProp37.xml"/><Relationship Id="rId45" Type="http://schemas.openxmlformats.org/officeDocument/2006/relationships/ctrlProp" Target="../ctrlProps/ctrlProp42.xml"/><Relationship Id="rId53" Type="http://schemas.openxmlformats.org/officeDocument/2006/relationships/ctrlProp" Target="../ctrlProps/ctrlProp50.xml"/><Relationship Id="rId5" Type="http://schemas.openxmlformats.org/officeDocument/2006/relationships/ctrlProp" Target="../ctrlProps/ctrlProp2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31" Type="http://schemas.openxmlformats.org/officeDocument/2006/relationships/ctrlProp" Target="../ctrlProps/ctrlProp28.xml"/><Relationship Id="rId44" Type="http://schemas.openxmlformats.org/officeDocument/2006/relationships/ctrlProp" Target="../ctrlProps/ctrlProp41.xml"/><Relationship Id="rId52" Type="http://schemas.openxmlformats.org/officeDocument/2006/relationships/ctrlProp" Target="../ctrlProps/ctrlProp49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Relationship Id="rId30" Type="http://schemas.openxmlformats.org/officeDocument/2006/relationships/ctrlProp" Target="../ctrlProps/ctrlProp27.xml"/><Relationship Id="rId35" Type="http://schemas.openxmlformats.org/officeDocument/2006/relationships/ctrlProp" Target="../ctrlProps/ctrlProp32.xml"/><Relationship Id="rId43" Type="http://schemas.openxmlformats.org/officeDocument/2006/relationships/ctrlProp" Target="../ctrlProps/ctrlProp40.xml"/><Relationship Id="rId48" Type="http://schemas.openxmlformats.org/officeDocument/2006/relationships/ctrlProp" Target="../ctrlProps/ctrlProp45.xml"/><Relationship Id="rId8" Type="http://schemas.openxmlformats.org/officeDocument/2006/relationships/ctrlProp" Target="../ctrlProps/ctrlProp5.xml"/><Relationship Id="rId51" Type="http://schemas.openxmlformats.org/officeDocument/2006/relationships/ctrlProp" Target="../ctrlProps/ctrlProp48.xml"/><Relationship Id="rId3" Type="http://schemas.openxmlformats.org/officeDocument/2006/relationships/vmlDrawing" Target="../drawings/vmlDrawing1.v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33" Type="http://schemas.openxmlformats.org/officeDocument/2006/relationships/ctrlProp" Target="../ctrlProps/ctrlProp30.xml"/><Relationship Id="rId38" Type="http://schemas.openxmlformats.org/officeDocument/2006/relationships/ctrlProp" Target="../ctrlProps/ctrlProp35.xml"/><Relationship Id="rId46" Type="http://schemas.openxmlformats.org/officeDocument/2006/relationships/ctrlProp" Target="../ctrlProps/ctrlProp43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54" Type="http://schemas.openxmlformats.org/officeDocument/2006/relationships/ctrlProp" Target="../ctrlProps/ctrlProp5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36" Type="http://schemas.openxmlformats.org/officeDocument/2006/relationships/ctrlProp" Target="../ctrlProps/ctrlProp33.xml"/><Relationship Id="rId49" Type="http://schemas.openxmlformats.org/officeDocument/2006/relationships/ctrlProp" Target="../ctrlProps/ctrlProp46.xm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62.xml"/><Relationship Id="rId18" Type="http://schemas.openxmlformats.org/officeDocument/2006/relationships/ctrlProp" Target="../ctrlProps/ctrlProp67.xml"/><Relationship Id="rId26" Type="http://schemas.openxmlformats.org/officeDocument/2006/relationships/ctrlProp" Target="../ctrlProps/ctrlProp75.xml"/><Relationship Id="rId39" Type="http://schemas.openxmlformats.org/officeDocument/2006/relationships/ctrlProp" Target="../ctrlProps/ctrlProp88.xml"/><Relationship Id="rId21" Type="http://schemas.openxmlformats.org/officeDocument/2006/relationships/ctrlProp" Target="../ctrlProps/ctrlProp70.xml"/><Relationship Id="rId34" Type="http://schemas.openxmlformats.org/officeDocument/2006/relationships/ctrlProp" Target="../ctrlProps/ctrlProp83.xml"/><Relationship Id="rId42" Type="http://schemas.openxmlformats.org/officeDocument/2006/relationships/ctrlProp" Target="../ctrlProps/ctrlProp91.xml"/><Relationship Id="rId47" Type="http://schemas.openxmlformats.org/officeDocument/2006/relationships/ctrlProp" Target="../ctrlProps/ctrlProp96.xml"/><Relationship Id="rId50" Type="http://schemas.openxmlformats.org/officeDocument/2006/relationships/ctrlProp" Target="../ctrlProps/ctrlProp99.xml"/><Relationship Id="rId55" Type="http://schemas.openxmlformats.org/officeDocument/2006/relationships/ctrlProp" Target="../ctrlProps/ctrlProp104.xml"/><Relationship Id="rId7" Type="http://schemas.openxmlformats.org/officeDocument/2006/relationships/ctrlProp" Target="../ctrlProps/ctrlProp56.xml"/><Relationship Id="rId2" Type="http://schemas.openxmlformats.org/officeDocument/2006/relationships/drawing" Target="../drawings/drawing2.xml"/><Relationship Id="rId16" Type="http://schemas.openxmlformats.org/officeDocument/2006/relationships/ctrlProp" Target="../ctrlProps/ctrlProp65.xml"/><Relationship Id="rId29" Type="http://schemas.openxmlformats.org/officeDocument/2006/relationships/ctrlProp" Target="../ctrlProps/ctrlProp78.xml"/><Relationship Id="rId11" Type="http://schemas.openxmlformats.org/officeDocument/2006/relationships/ctrlProp" Target="../ctrlProps/ctrlProp60.xml"/><Relationship Id="rId24" Type="http://schemas.openxmlformats.org/officeDocument/2006/relationships/ctrlProp" Target="../ctrlProps/ctrlProp73.xml"/><Relationship Id="rId32" Type="http://schemas.openxmlformats.org/officeDocument/2006/relationships/ctrlProp" Target="../ctrlProps/ctrlProp81.xml"/><Relationship Id="rId37" Type="http://schemas.openxmlformats.org/officeDocument/2006/relationships/ctrlProp" Target="../ctrlProps/ctrlProp86.xml"/><Relationship Id="rId40" Type="http://schemas.openxmlformats.org/officeDocument/2006/relationships/ctrlProp" Target="../ctrlProps/ctrlProp89.xml"/><Relationship Id="rId45" Type="http://schemas.openxmlformats.org/officeDocument/2006/relationships/ctrlProp" Target="../ctrlProps/ctrlProp94.xml"/><Relationship Id="rId53" Type="http://schemas.openxmlformats.org/officeDocument/2006/relationships/ctrlProp" Target="../ctrlProps/ctrlProp102.xml"/><Relationship Id="rId5" Type="http://schemas.openxmlformats.org/officeDocument/2006/relationships/ctrlProp" Target="../ctrlProps/ctrlProp54.xml"/><Relationship Id="rId10" Type="http://schemas.openxmlformats.org/officeDocument/2006/relationships/ctrlProp" Target="../ctrlProps/ctrlProp59.xml"/><Relationship Id="rId19" Type="http://schemas.openxmlformats.org/officeDocument/2006/relationships/ctrlProp" Target="../ctrlProps/ctrlProp68.xml"/><Relationship Id="rId31" Type="http://schemas.openxmlformats.org/officeDocument/2006/relationships/ctrlProp" Target="../ctrlProps/ctrlProp80.xml"/><Relationship Id="rId44" Type="http://schemas.openxmlformats.org/officeDocument/2006/relationships/ctrlProp" Target="../ctrlProps/ctrlProp93.xml"/><Relationship Id="rId52" Type="http://schemas.openxmlformats.org/officeDocument/2006/relationships/ctrlProp" Target="../ctrlProps/ctrlProp101.xml"/><Relationship Id="rId4" Type="http://schemas.openxmlformats.org/officeDocument/2006/relationships/ctrlProp" Target="../ctrlProps/ctrlProp53.xml"/><Relationship Id="rId9" Type="http://schemas.openxmlformats.org/officeDocument/2006/relationships/ctrlProp" Target="../ctrlProps/ctrlProp58.xml"/><Relationship Id="rId14" Type="http://schemas.openxmlformats.org/officeDocument/2006/relationships/ctrlProp" Target="../ctrlProps/ctrlProp63.xml"/><Relationship Id="rId22" Type="http://schemas.openxmlformats.org/officeDocument/2006/relationships/ctrlProp" Target="../ctrlProps/ctrlProp71.xml"/><Relationship Id="rId27" Type="http://schemas.openxmlformats.org/officeDocument/2006/relationships/ctrlProp" Target="../ctrlProps/ctrlProp76.xml"/><Relationship Id="rId30" Type="http://schemas.openxmlformats.org/officeDocument/2006/relationships/ctrlProp" Target="../ctrlProps/ctrlProp79.xml"/><Relationship Id="rId35" Type="http://schemas.openxmlformats.org/officeDocument/2006/relationships/ctrlProp" Target="../ctrlProps/ctrlProp84.xml"/><Relationship Id="rId43" Type="http://schemas.openxmlformats.org/officeDocument/2006/relationships/ctrlProp" Target="../ctrlProps/ctrlProp92.xml"/><Relationship Id="rId48" Type="http://schemas.openxmlformats.org/officeDocument/2006/relationships/ctrlProp" Target="../ctrlProps/ctrlProp97.xml"/><Relationship Id="rId8" Type="http://schemas.openxmlformats.org/officeDocument/2006/relationships/ctrlProp" Target="../ctrlProps/ctrlProp57.xml"/><Relationship Id="rId51" Type="http://schemas.openxmlformats.org/officeDocument/2006/relationships/ctrlProp" Target="../ctrlProps/ctrlProp100.xml"/><Relationship Id="rId3" Type="http://schemas.openxmlformats.org/officeDocument/2006/relationships/vmlDrawing" Target="../drawings/vmlDrawing2.vml"/><Relationship Id="rId12" Type="http://schemas.openxmlformats.org/officeDocument/2006/relationships/ctrlProp" Target="../ctrlProps/ctrlProp61.xml"/><Relationship Id="rId17" Type="http://schemas.openxmlformats.org/officeDocument/2006/relationships/ctrlProp" Target="../ctrlProps/ctrlProp66.xml"/><Relationship Id="rId25" Type="http://schemas.openxmlformats.org/officeDocument/2006/relationships/ctrlProp" Target="../ctrlProps/ctrlProp74.xml"/><Relationship Id="rId33" Type="http://schemas.openxmlformats.org/officeDocument/2006/relationships/ctrlProp" Target="../ctrlProps/ctrlProp82.xml"/><Relationship Id="rId38" Type="http://schemas.openxmlformats.org/officeDocument/2006/relationships/ctrlProp" Target="../ctrlProps/ctrlProp87.xml"/><Relationship Id="rId46" Type="http://schemas.openxmlformats.org/officeDocument/2006/relationships/ctrlProp" Target="../ctrlProps/ctrlProp95.xml"/><Relationship Id="rId20" Type="http://schemas.openxmlformats.org/officeDocument/2006/relationships/ctrlProp" Target="../ctrlProps/ctrlProp69.xml"/><Relationship Id="rId41" Type="http://schemas.openxmlformats.org/officeDocument/2006/relationships/ctrlProp" Target="../ctrlProps/ctrlProp90.xml"/><Relationship Id="rId54" Type="http://schemas.openxmlformats.org/officeDocument/2006/relationships/ctrlProp" Target="../ctrlProps/ctrlProp103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55.xml"/><Relationship Id="rId15" Type="http://schemas.openxmlformats.org/officeDocument/2006/relationships/ctrlProp" Target="../ctrlProps/ctrlProp64.xml"/><Relationship Id="rId23" Type="http://schemas.openxmlformats.org/officeDocument/2006/relationships/ctrlProp" Target="../ctrlProps/ctrlProp72.xml"/><Relationship Id="rId28" Type="http://schemas.openxmlformats.org/officeDocument/2006/relationships/ctrlProp" Target="../ctrlProps/ctrlProp77.xml"/><Relationship Id="rId36" Type="http://schemas.openxmlformats.org/officeDocument/2006/relationships/ctrlProp" Target="../ctrlProps/ctrlProp85.xml"/><Relationship Id="rId49" Type="http://schemas.openxmlformats.org/officeDocument/2006/relationships/ctrlProp" Target="../ctrlProps/ctrlProp98.xm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14.xml"/><Relationship Id="rId18" Type="http://schemas.openxmlformats.org/officeDocument/2006/relationships/ctrlProp" Target="../ctrlProps/ctrlProp119.xml"/><Relationship Id="rId26" Type="http://schemas.openxmlformats.org/officeDocument/2006/relationships/ctrlProp" Target="../ctrlProps/ctrlProp127.xml"/><Relationship Id="rId39" Type="http://schemas.openxmlformats.org/officeDocument/2006/relationships/ctrlProp" Target="../ctrlProps/ctrlProp140.xml"/><Relationship Id="rId21" Type="http://schemas.openxmlformats.org/officeDocument/2006/relationships/ctrlProp" Target="../ctrlProps/ctrlProp122.xml"/><Relationship Id="rId34" Type="http://schemas.openxmlformats.org/officeDocument/2006/relationships/ctrlProp" Target="../ctrlProps/ctrlProp135.xml"/><Relationship Id="rId42" Type="http://schemas.openxmlformats.org/officeDocument/2006/relationships/ctrlProp" Target="../ctrlProps/ctrlProp143.xml"/><Relationship Id="rId47" Type="http://schemas.openxmlformats.org/officeDocument/2006/relationships/ctrlProp" Target="../ctrlProps/ctrlProp148.xml"/><Relationship Id="rId50" Type="http://schemas.openxmlformats.org/officeDocument/2006/relationships/ctrlProp" Target="../ctrlProps/ctrlProp151.xml"/><Relationship Id="rId55" Type="http://schemas.openxmlformats.org/officeDocument/2006/relationships/ctrlProp" Target="../ctrlProps/ctrlProp156.xml"/><Relationship Id="rId7" Type="http://schemas.openxmlformats.org/officeDocument/2006/relationships/ctrlProp" Target="../ctrlProps/ctrlProp108.xml"/><Relationship Id="rId2" Type="http://schemas.openxmlformats.org/officeDocument/2006/relationships/drawing" Target="../drawings/drawing3.xml"/><Relationship Id="rId16" Type="http://schemas.openxmlformats.org/officeDocument/2006/relationships/ctrlProp" Target="../ctrlProps/ctrlProp117.xml"/><Relationship Id="rId29" Type="http://schemas.openxmlformats.org/officeDocument/2006/relationships/ctrlProp" Target="../ctrlProps/ctrlProp130.xml"/><Relationship Id="rId11" Type="http://schemas.openxmlformats.org/officeDocument/2006/relationships/ctrlProp" Target="../ctrlProps/ctrlProp112.xml"/><Relationship Id="rId24" Type="http://schemas.openxmlformats.org/officeDocument/2006/relationships/ctrlProp" Target="../ctrlProps/ctrlProp125.xml"/><Relationship Id="rId32" Type="http://schemas.openxmlformats.org/officeDocument/2006/relationships/ctrlProp" Target="../ctrlProps/ctrlProp133.xml"/><Relationship Id="rId37" Type="http://schemas.openxmlformats.org/officeDocument/2006/relationships/ctrlProp" Target="../ctrlProps/ctrlProp138.xml"/><Relationship Id="rId40" Type="http://schemas.openxmlformats.org/officeDocument/2006/relationships/ctrlProp" Target="../ctrlProps/ctrlProp141.xml"/><Relationship Id="rId45" Type="http://schemas.openxmlformats.org/officeDocument/2006/relationships/ctrlProp" Target="../ctrlProps/ctrlProp146.xml"/><Relationship Id="rId53" Type="http://schemas.openxmlformats.org/officeDocument/2006/relationships/ctrlProp" Target="../ctrlProps/ctrlProp154.xml"/><Relationship Id="rId5" Type="http://schemas.openxmlformats.org/officeDocument/2006/relationships/ctrlProp" Target="../ctrlProps/ctrlProp106.xml"/><Relationship Id="rId10" Type="http://schemas.openxmlformats.org/officeDocument/2006/relationships/ctrlProp" Target="../ctrlProps/ctrlProp111.xml"/><Relationship Id="rId19" Type="http://schemas.openxmlformats.org/officeDocument/2006/relationships/ctrlProp" Target="../ctrlProps/ctrlProp120.xml"/><Relationship Id="rId31" Type="http://schemas.openxmlformats.org/officeDocument/2006/relationships/ctrlProp" Target="../ctrlProps/ctrlProp132.xml"/><Relationship Id="rId44" Type="http://schemas.openxmlformats.org/officeDocument/2006/relationships/ctrlProp" Target="../ctrlProps/ctrlProp145.xml"/><Relationship Id="rId52" Type="http://schemas.openxmlformats.org/officeDocument/2006/relationships/ctrlProp" Target="../ctrlProps/ctrlProp153.xml"/><Relationship Id="rId4" Type="http://schemas.openxmlformats.org/officeDocument/2006/relationships/ctrlProp" Target="../ctrlProps/ctrlProp105.xml"/><Relationship Id="rId9" Type="http://schemas.openxmlformats.org/officeDocument/2006/relationships/ctrlProp" Target="../ctrlProps/ctrlProp110.xml"/><Relationship Id="rId14" Type="http://schemas.openxmlformats.org/officeDocument/2006/relationships/ctrlProp" Target="../ctrlProps/ctrlProp115.xml"/><Relationship Id="rId22" Type="http://schemas.openxmlformats.org/officeDocument/2006/relationships/ctrlProp" Target="../ctrlProps/ctrlProp123.xml"/><Relationship Id="rId27" Type="http://schemas.openxmlformats.org/officeDocument/2006/relationships/ctrlProp" Target="../ctrlProps/ctrlProp128.xml"/><Relationship Id="rId30" Type="http://schemas.openxmlformats.org/officeDocument/2006/relationships/ctrlProp" Target="../ctrlProps/ctrlProp131.xml"/><Relationship Id="rId35" Type="http://schemas.openxmlformats.org/officeDocument/2006/relationships/ctrlProp" Target="../ctrlProps/ctrlProp136.xml"/><Relationship Id="rId43" Type="http://schemas.openxmlformats.org/officeDocument/2006/relationships/ctrlProp" Target="../ctrlProps/ctrlProp144.xml"/><Relationship Id="rId48" Type="http://schemas.openxmlformats.org/officeDocument/2006/relationships/ctrlProp" Target="../ctrlProps/ctrlProp149.xml"/><Relationship Id="rId8" Type="http://schemas.openxmlformats.org/officeDocument/2006/relationships/ctrlProp" Target="../ctrlProps/ctrlProp109.xml"/><Relationship Id="rId51" Type="http://schemas.openxmlformats.org/officeDocument/2006/relationships/ctrlProp" Target="../ctrlProps/ctrlProp152.xml"/><Relationship Id="rId3" Type="http://schemas.openxmlformats.org/officeDocument/2006/relationships/vmlDrawing" Target="../drawings/vmlDrawing3.vml"/><Relationship Id="rId12" Type="http://schemas.openxmlformats.org/officeDocument/2006/relationships/ctrlProp" Target="../ctrlProps/ctrlProp113.xml"/><Relationship Id="rId17" Type="http://schemas.openxmlformats.org/officeDocument/2006/relationships/ctrlProp" Target="../ctrlProps/ctrlProp118.xml"/><Relationship Id="rId25" Type="http://schemas.openxmlformats.org/officeDocument/2006/relationships/ctrlProp" Target="../ctrlProps/ctrlProp126.xml"/><Relationship Id="rId33" Type="http://schemas.openxmlformats.org/officeDocument/2006/relationships/ctrlProp" Target="../ctrlProps/ctrlProp134.xml"/><Relationship Id="rId38" Type="http://schemas.openxmlformats.org/officeDocument/2006/relationships/ctrlProp" Target="../ctrlProps/ctrlProp139.xml"/><Relationship Id="rId46" Type="http://schemas.openxmlformats.org/officeDocument/2006/relationships/ctrlProp" Target="../ctrlProps/ctrlProp147.xml"/><Relationship Id="rId20" Type="http://schemas.openxmlformats.org/officeDocument/2006/relationships/ctrlProp" Target="../ctrlProps/ctrlProp121.xml"/><Relationship Id="rId41" Type="http://schemas.openxmlformats.org/officeDocument/2006/relationships/ctrlProp" Target="../ctrlProps/ctrlProp142.xml"/><Relationship Id="rId54" Type="http://schemas.openxmlformats.org/officeDocument/2006/relationships/ctrlProp" Target="../ctrlProps/ctrlProp155.xml"/><Relationship Id="rId1" Type="http://schemas.openxmlformats.org/officeDocument/2006/relationships/printerSettings" Target="../printerSettings/printerSettings3.bin"/><Relationship Id="rId6" Type="http://schemas.openxmlformats.org/officeDocument/2006/relationships/ctrlProp" Target="../ctrlProps/ctrlProp107.xml"/><Relationship Id="rId15" Type="http://schemas.openxmlformats.org/officeDocument/2006/relationships/ctrlProp" Target="../ctrlProps/ctrlProp116.xml"/><Relationship Id="rId23" Type="http://schemas.openxmlformats.org/officeDocument/2006/relationships/ctrlProp" Target="../ctrlProps/ctrlProp124.xml"/><Relationship Id="rId28" Type="http://schemas.openxmlformats.org/officeDocument/2006/relationships/ctrlProp" Target="../ctrlProps/ctrlProp129.xml"/><Relationship Id="rId36" Type="http://schemas.openxmlformats.org/officeDocument/2006/relationships/ctrlProp" Target="../ctrlProps/ctrlProp137.xml"/><Relationship Id="rId49" Type="http://schemas.openxmlformats.org/officeDocument/2006/relationships/ctrlProp" Target="../ctrlProps/ctrlProp150.xm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66.xml"/><Relationship Id="rId18" Type="http://schemas.openxmlformats.org/officeDocument/2006/relationships/ctrlProp" Target="../ctrlProps/ctrlProp171.xml"/><Relationship Id="rId26" Type="http://schemas.openxmlformats.org/officeDocument/2006/relationships/ctrlProp" Target="../ctrlProps/ctrlProp179.xml"/><Relationship Id="rId39" Type="http://schemas.openxmlformats.org/officeDocument/2006/relationships/ctrlProp" Target="../ctrlProps/ctrlProp192.xml"/><Relationship Id="rId21" Type="http://schemas.openxmlformats.org/officeDocument/2006/relationships/ctrlProp" Target="../ctrlProps/ctrlProp174.xml"/><Relationship Id="rId34" Type="http://schemas.openxmlformats.org/officeDocument/2006/relationships/ctrlProp" Target="../ctrlProps/ctrlProp187.xml"/><Relationship Id="rId42" Type="http://schemas.openxmlformats.org/officeDocument/2006/relationships/ctrlProp" Target="../ctrlProps/ctrlProp195.xml"/><Relationship Id="rId47" Type="http://schemas.openxmlformats.org/officeDocument/2006/relationships/ctrlProp" Target="../ctrlProps/ctrlProp200.xml"/><Relationship Id="rId50" Type="http://schemas.openxmlformats.org/officeDocument/2006/relationships/ctrlProp" Target="../ctrlProps/ctrlProp203.xml"/><Relationship Id="rId55" Type="http://schemas.openxmlformats.org/officeDocument/2006/relationships/ctrlProp" Target="../ctrlProps/ctrlProp208.xml"/><Relationship Id="rId7" Type="http://schemas.openxmlformats.org/officeDocument/2006/relationships/ctrlProp" Target="../ctrlProps/ctrlProp160.xml"/><Relationship Id="rId2" Type="http://schemas.openxmlformats.org/officeDocument/2006/relationships/drawing" Target="../drawings/drawing4.xml"/><Relationship Id="rId16" Type="http://schemas.openxmlformats.org/officeDocument/2006/relationships/ctrlProp" Target="../ctrlProps/ctrlProp169.xml"/><Relationship Id="rId29" Type="http://schemas.openxmlformats.org/officeDocument/2006/relationships/ctrlProp" Target="../ctrlProps/ctrlProp182.xml"/><Relationship Id="rId11" Type="http://schemas.openxmlformats.org/officeDocument/2006/relationships/ctrlProp" Target="../ctrlProps/ctrlProp164.xml"/><Relationship Id="rId24" Type="http://schemas.openxmlformats.org/officeDocument/2006/relationships/ctrlProp" Target="../ctrlProps/ctrlProp177.xml"/><Relationship Id="rId32" Type="http://schemas.openxmlformats.org/officeDocument/2006/relationships/ctrlProp" Target="../ctrlProps/ctrlProp185.xml"/><Relationship Id="rId37" Type="http://schemas.openxmlformats.org/officeDocument/2006/relationships/ctrlProp" Target="../ctrlProps/ctrlProp190.xml"/><Relationship Id="rId40" Type="http://schemas.openxmlformats.org/officeDocument/2006/relationships/ctrlProp" Target="../ctrlProps/ctrlProp193.xml"/><Relationship Id="rId45" Type="http://schemas.openxmlformats.org/officeDocument/2006/relationships/ctrlProp" Target="../ctrlProps/ctrlProp198.xml"/><Relationship Id="rId53" Type="http://schemas.openxmlformats.org/officeDocument/2006/relationships/ctrlProp" Target="../ctrlProps/ctrlProp206.xml"/><Relationship Id="rId5" Type="http://schemas.openxmlformats.org/officeDocument/2006/relationships/ctrlProp" Target="../ctrlProps/ctrlProp158.xml"/><Relationship Id="rId10" Type="http://schemas.openxmlformats.org/officeDocument/2006/relationships/ctrlProp" Target="../ctrlProps/ctrlProp163.xml"/><Relationship Id="rId19" Type="http://schemas.openxmlformats.org/officeDocument/2006/relationships/ctrlProp" Target="../ctrlProps/ctrlProp172.xml"/><Relationship Id="rId31" Type="http://schemas.openxmlformats.org/officeDocument/2006/relationships/ctrlProp" Target="../ctrlProps/ctrlProp184.xml"/><Relationship Id="rId44" Type="http://schemas.openxmlformats.org/officeDocument/2006/relationships/ctrlProp" Target="../ctrlProps/ctrlProp197.xml"/><Relationship Id="rId52" Type="http://schemas.openxmlformats.org/officeDocument/2006/relationships/ctrlProp" Target="../ctrlProps/ctrlProp205.xml"/><Relationship Id="rId4" Type="http://schemas.openxmlformats.org/officeDocument/2006/relationships/ctrlProp" Target="../ctrlProps/ctrlProp157.xml"/><Relationship Id="rId9" Type="http://schemas.openxmlformats.org/officeDocument/2006/relationships/ctrlProp" Target="../ctrlProps/ctrlProp162.xml"/><Relationship Id="rId14" Type="http://schemas.openxmlformats.org/officeDocument/2006/relationships/ctrlProp" Target="../ctrlProps/ctrlProp167.xml"/><Relationship Id="rId22" Type="http://schemas.openxmlformats.org/officeDocument/2006/relationships/ctrlProp" Target="../ctrlProps/ctrlProp175.xml"/><Relationship Id="rId27" Type="http://schemas.openxmlformats.org/officeDocument/2006/relationships/ctrlProp" Target="../ctrlProps/ctrlProp180.xml"/><Relationship Id="rId30" Type="http://schemas.openxmlformats.org/officeDocument/2006/relationships/ctrlProp" Target="../ctrlProps/ctrlProp183.xml"/><Relationship Id="rId35" Type="http://schemas.openxmlformats.org/officeDocument/2006/relationships/ctrlProp" Target="../ctrlProps/ctrlProp188.xml"/><Relationship Id="rId43" Type="http://schemas.openxmlformats.org/officeDocument/2006/relationships/ctrlProp" Target="../ctrlProps/ctrlProp196.xml"/><Relationship Id="rId48" Type="http://schemas.openxmlformats.org/officeDocument/2006/relationships/ctrlProp" Target="../ctrlProps/ctrlProp201.xml"/><Relationship Id="rId8" Type="http://schemas.openxmlformats.org/officeDocument/2006/relationships/ctrlProp" Target="../ctrlProps/ctrlProp161.xml"/><Relationship Id="rId51" Type="http://schemas.openxmlformats.org/officeDocument/2006/relationships/ctrlProp" Target="../ctrlProps/ctrlProp204.xml"/><Relationship Id="rId3" Type="http://schemas.openxmlformats.org/officeDocument/2006/relationships/vmlDrawing" Target="../drawings/vmlDrawing4.vml"/><Relationship Id="rId12" Type="http://schemas.openxmlformats.org/officeDocument/2006/relationships/ctrlProp" Target="../ctrlProps/ctrlProp165.xml"/><Relationship Id="rId17" Type="http://schemas.openxmlformats.org/officeDocument/2006/relationships/ctrlProp" Target="../ctrlProps/ctrlProp170.xml"/><Relationship Id="rId25" Type="http://schemas.openxmlformats.org/officeDocument/2006/relationships/ctrlProp" Target="../ctrlProps/ctrlProp178.xml"/><Relationship Id="rId33" Type="http://schemas.openxmlformats.org/officeDocument/2006/relationships/ctrlProp" Target="../ctrlProps/ctrlProp186.xml"/><Relationship Id="rId38" Type="http://schemas.openxmlformats.org/officeDocument/2006/relationships/ctrlProp" Target="../ctrlProps/ctrlProp191.xml"/><Relationship Id="rId46" Type="http://schemas.openxmlformats.org/officeDocument/2006/relationships/ctrlProp" Target="../ctrlProps/ctrlProp199.xml"/><Relationship Id="rId20" Type="http://schemas.openxmlformats.org/officeDocument/2006/relationships/ctrlProp" Target="../ctrlProps/ctrlProp173.xml"/><Relationship Id="rId41" Type="http://schemas.openxmlformats.org/officeDocument/2006/relationships/ctrlProp" Target="../ctrlProps/ctrlProp194.xml"/><Relationship Id="rId54" Type="http://schemas.openxmlformats.org/officeDocument/2006/relationships/ctrlProp" Target="../ctrlProps/ctrlProp207.xml"/><Relationship Id="rId1" Type="http://schemas.openxmlformats.org/officeDocument/2006/relationships/printerSettings" Target="../printerSettings/printerSettings4.bin"/><Relationship Id="rId6" Type="http://schemas.openxmlformats.org/officeDocument/2006/relationships/ctrlProp" Target="../ctrlProps/ctrlProp159.xml"/><Relationship Id="rId15" Type="http://schemas.openxmlformats.org/officeDocument/2006/relationships/ctrlProp" Target="../ctrlProps/ctrlProp168.xml"/><Relationship Id="rId23" Type="http://schemas.openxmlformats.org/officeDocument/2006/relationships/ctrlProp" Target="../ctrlProps/ctrlProp176.xml"/><Relationship Id="rId28" Type="http://schemas.openxmlformats.org/officeDocument/2006/relationships/ctrlProp" Target="../ctrlProps/ctrlProp181.xml"/><Relationship Id="rId36" Type="http://schemas.openxmlformats.org/officeDocument/2006/relationships/ctrlProp" Target="../ctrlProps/ctrlProp189.xml"/><Relationship Id="rId49" Type="http://schemas.openxmlformats.org/officeDocument/2006/relationships/ctrlProp" Target="../ctrlProps/ctrlProp202.xm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218.xml"/><Relationship Id="rId18" Type="http://schemas.openxmlformats.org/officeDocument/2006/relationships/ctrlProp" Target="../ctrlProps/ctrlProp223.xml"/><Relationship Id="rId26" Type="http://schemas.openxmlformats.org/officeDocument/2006/relationships/ctrlProp" Target="../ctrlProps/ctrlProp231.xml"/><Relationship Id="rId39" Type="http://schemas.openxmlformats.org/officeDocument/2006/relationships/ctrlProp" Target="../ctrlProps/ctrlProp244.xml"/><Relationship Id="rId21" Type="http://schemas.openxmlformats.org/officeDocument/2006/relationships/ctrlProp" Target="../ctrlProps/ctrlProp226.xml"/><Relationship Id="rId34" Type="http://schemas.openxmlformats.org/officeDocument/2006/relationships/ctrlProp" Target="../ctrlProps/ctrlProp239.xml"/><Relationship Id="rId42" Type="http://schemas.openxmlformats.org/officeDocument/2006/relationships/ctrlProp" Target="../ctrlProps/ctrlProp247.xml"/><Relationship Id="rId47" Type="http://schemas.openxmlformats.org/officeDocument/2006/relationships/ctrlProp" Target="../ctrlProps/ctrlProp252.xml"/><Relationship Id="rId50" Type="http://schemas.openxmlformats.org/officeDocument/2006/relationships/ctrlProp" Target="../ctrlProps/ctrlProp255.xml"/><Relationship Id="rId55" Type="http://schemas.openxmlformats.org/officeDocument/2006/relationships/ctrlProp" Target="../ctrlProps/ctrlProp260.xml"/><Relationship Id="rId7" Type="http://schemas.openxmlformats.org/officeDocument/2006/relationships/ctrlProp" Target="../ctrlProps/ctrlProp212.xml"/><Relationship Id="rId2" Type="http://schemas.openxmlformats.org/officeDocument/2006/relationships/drawing" Target="../drawings/drawing5.xml"/><Relationship Id="rId16" Type="http://schemas.openxmlformats.org/officeDocument/2006/relationships/ctrlProp" Target="../ctrlProps/ctrlProp221.xml"/><Relationship Id="rId29" Type="http://schemas.openxmlformats.org/officeDocument/2006/relationships/ctrlProp" Target="../ctrlProps/ctrlProp234.xml"/><Relationship Id="rId11" Type="http://schemas.openxmlformats.org/officeDocument/2006/relationships/ctrlProp" Target="../ctrlProps/ctrlProp216.xml"/><Relationship Id="rId24" Type="http://schemas.openxmlformats.org/officeDocument/2006/relationships/ctrlProp" Target="../ctrlProps/ctrlProp229.xml"/><Relationship Id="rId32" Type="http://schemas.openxmlformats.org/officeDocument/2006/relationships/ctrlProp" Target="../ctrlProps/ctrlProp237.xml"/><Relationship Id="rId37" Type="http://schemas.openxmlformats.org/officeDocument/2006/relationships/ctrlProp" Target="../ctrlProps/ctrlProp242.xml"/><Relationship Id="rId40" Type="http://schemas.openxmlformats.org/officeDocument/2006/relationships/ctrlProp" Target="../ctrlProps/ctrlProp245.xml"/><Relationship Id="rId45" Type="http://schemas.openxmlformats.org/officeDocument/2006/relationships/ctrlProp" Target="../ctrlProps/ctrlProp250.xml"/><Relationship Id="rId53" Type="http://schemas.openxmlformats.org/officeDocument/2006/relationships/ctrlProp" Target="../ctrlProps/ctrlProp258.xml"/><Relationship Id="rId5" Type="http://schemas.openxmlformats.org/officeDocument/2006/relationships/ctrlProp" Target="../ctrlProps/ctrlProp210.xml"/><Relationship Id="rId10" Type="http://schemas.openxmlformats.org/officeDocument/2006/relationships/ctrlProp" Target="../ctrlProps/ctrlProp215.xml"/><Relationship Id="rId19" Type="http://schemas.openxmlformats.org/officeDocument/2006/relationships/ctrlProp" Target="../ctrlProps/ctrlProp224.xml"/><Relationship Id="rId31" Type="http://schemas.openxmlformats.org/officeDocument/2006/relationships/ctrlProp" Target="../ctrlProps/ctrlProp236.xml"/><Relationship Id="rId44" Type="http://schemas.openxmlformats.org/officeDocument/2006/relationships/ctrlProp" Target="../ctrlProps/ctrlProp249.xml"/><Relationship Id="rId52" Type="http://schemas.openxmlformats.org/officeDocument/2006/relationships/ctrlProp" Target="../ctrlProps/ctrlProp257.xml"/><Relationship Id="rId4" Type="http://schemas.openxmlformats.org/officeDocument/2006/relationships/ctrlProp" Target="../ctrlProps/ctrlProp209.xml"/><Relationship Id="rId9" Type="http://schemas.openxmlformats.org/officeDocument/2006/relationships/ctrlProp" Target="../ctrlProps/ctrlProp214.xml"/><Relationship Id="rId14" Type="http://schemas.openxmlformats.org/officeDocument/2006/relationships/ctrlProp" Target="../ctrlProps/ctrlProp219.xml"/><Relationship Id="rId22" Type="http://schemas.openxmlformats.org/officeDocument/2006/relationships/ctrlProp" Target="../ctrlProps/ctrlProp227.xml"/><Relationship Id="rId27" Type="http://schemas.openxmlformats.org/officeDocument/2006/relationships/ctrlProp" Target="../ctrlProps/ctrlProp232.xml"/><Relationship Id="rId30" Type="http://schemas.openxmlformats.org/officeDocument/2006/relationships/ctrlProp" Target="../ctrlProps/ctrlProp235.xml"/><Relationship Id="rId35" Type="http://schemas.openxmlformats.org/officeDocument/2006/relationships/ctrlProp" Target="../ctrlProps/ctrlProp240.xml"/><Relationship Id="rId43" Type="http://schemas.openxmlformats.org/officeDocument/2006/relationships/ctrlProp" Target="../ctrlProps/ctrlProp248.xml"/><Relationship Id="rId48" Type="http://schemas.openxmlformats.org/officeDocument/2006/relationships/ctrlProp" Target="../ctrlProps/ctrlProp253.xml"/><Relationship Id="rId8" Type="http://schemas.openxmlformats.org/officeDocument/2006/relationships/ctrlProp" Target="../ctrlProps/ctrlProp213.xml"/><Relationship Id="rId51" Type="http://schemas.openxmlformats.org/officeDocument/2006/relationships/ctrlProp" Target="../ctrlProps/ctrlProp256.xml"/><Relationship Id="rId3" Type="http://schemas.openxmlformats.org/officeDocument/2006/relationships/vmlDrawing" Target="../drawings/vmlDrawing5.vml"/><Relationship Id="rId12" Type="http://schemas.openxmlformats.org/officeDocument/2006/relationships/ctrlProp" Target="../ctrlProps/ctrlProp217.xml"/><Relationship Id="rId17" Type="http://schemas.openxmlformats.org/officeDocument/2006/relationships/ctrlProp" Target="../ctrlProps/ctrlProp222.xml"/><Relationship Id="rId25" Type="http://schemas.openxmlformats.org/officeDocument/2006/relationships/ctrlProp" Target="../ctrlProps/ctrlProp230.xml"/><Relationship Id="rId33" Type="http://schemas.openxmlformats.org/officeDocument/2006/relationships/ctrlProp" Target="../ctrlProps/ctrlProp238.xml"/><Relationship Id="rId38" Type="http://schemas.openxmlformats.org/officeDocument/2006/relationships/ctrlProp" Target="../ctrlProps/ctrlProp243.xml"/><Relationship Id="rId46" Type="http://schemas.openxmlformats.org/officeDocument/2006/relationships/ctrlProp" Target="../ctrlProps/ctrlProp251.xml"/><Relationship Id="rId20" Type="http://schemas.openxmlformats.org/officeDocument/2006/relationships/ctrlProp" Target="../ctrlProps/ctrlProp225.xml"/><Relationship Id="rId41" Type="http://schemas.openxmlformats.org/officeDocument/2006/relationships/ctrlProp" Target="../ctrlProps/ctrlProp246.xml"/><Relationship Id="rId54" Type="http://schemas.openxmlformats.org/officeDocument/2006/relationships/ctrlProp" Target="../ctrlProps/ctrlProp259.xml"/><Relationship Id="rId1" Type="http://schemas.openxmlformats.org/officeDocument/2006/relationships/printerSettings" Target="../printerSettings/printerSettings5.bin"/><Relationship Id="rId6" Type="http://schemas.openxmlformats.org/officeDocument/2006/relationships/ctrlProp" Target="../ctrlProps/ctrlProp211.xml"/><Relationship Id="rId15" Type="http://schemas.openxmlformats.org/officeDocument/2006/relationships/ctrlProp" Target="../ctrlProps/ctrlProp220.xml"/><Relationship Id="rId23" Type="http://schemas.openxmlformats.org/officeDocument/2006/relationships/ctrlProp" Target="../ctrlProps/ctrlProp228.xml"/><Relationship Id="rId28" Type="http://schemas.openxmlformats.org/officeDocument/2006/relationships/ctrlProp" Target="../ctrlProps/ctrlProp233.xml"/><Relationship Id="rId36" Type="http://schemas.openxmlformats.org/officeDocument/2006/relationships/ctrlProp" Target="../ctrlProps/ctrlProp241.xml"/><Relationship Id="rId49" Type="http://schemas.openxmlformats.org/officeDocument/2006/relationships/ctrlProp" Target="../ctrlProps/ctrlProp254.xm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270.xml"/><Relationship Id="rId18" Type="http://schemas.openxmlformats.org/officeDocument/2006/relationships/ctrlProp" Target="../ctrlProps/ctrlProp275.xml"/><Relationship Id="rId26" Type="http://schemas.openxmlformats.org/officeDocument/2006/relationships/ctrlProp" Target="../ctrlProps/ctrlProp283.xml"/><Relationship Id="rId39" Type="http://schemas.openxmlformats.org/officeDocument/2006/relationships/ctrlProp" Target="../ctrlProps/ctrlProp296.xml"/><Relationship Id="rId21" Type="http://schemas.openxmlformats.org/officeDocument/2006/relationships/ctrlProp" Target="../ctrlProps/ctrlProp278.xml"/><Relationship Id="rId34" Type="http://schemas.openxmlformats.org/officeDocument/2006/relationships/ctrlProp" Target="../ctrlProps/ctrlProp291.xml"/><Relationship Id="rId42" Type="http://schemas.openxmlformats.org/officeDocument/2006/relationships/ctrlProp" Target="../ctrlProps/ctrlProp299.xml"/><Relationship Id="rId47" Type="http://schemas.openxmlformats.org/officeDocument/2006/relationships/ctrlProp" Target="../ctrlProps/ctrlProp304.xml"/><Relationship Id="rId50" Type="http://schemas.openxmlformats.org/officeDocument/2006/relationships/ctrlProp" Target="../ctrlProps/ctrlProp307.xml"/><Relationship Id="rId55" Type="http://schemas.openxmlformats.org/officeDocument/2006/relationships/ctrlProp" Target="../ctrlProps/ctrlProp312.xml"/><Relationship Id="rId7" Type="http://schemas.openxmlformats.org/officeDocument/2006/relationships/ctrlProp" Target="../ctrlProps/ctrlProp264.xml"/><Relationship Id="rId2" Type="http://schemas.openxmlformats.org/officeDocument/2006/relationships/drawing" Target="../drawings/drawing6.xml"/><Relationship Id="rId16" Type="http://schemas.openxmlformats.org/officeDocument/2006/relationships/ctrlProp" Target="../ctrlProps/ctrlProp273.xml"/><Relationship Id="rId29" Type="http://schemas.openxmlformats.org/officeDocument/2006/relationships/ctrlProp" Target="../ctrlProps/ctrlProp286.xml"/><Relationship Id="rId11" Type="http://schemas.openxmlformats.org/officeDocument/2006/relationships/ctrlProp" Target="../ctrlProps/ctrlProp268.xml"/><Relationship Id="rId24" Type="http://schemas.openxmlformats.org/officeDocument/2006/relationships/ctrlProp" Target="../ctrlProps/ctrlProp281.xml"/><Relationship Id="rId32" Type="http://schemas.openxmlformats.org/officeDocument/2006/relationships/ctrlProp" Target="../ctrlProps/ctrlProp289.xml"/><Relationship Id="rId37" Type="http://schemas.openxmlformats.org/officeDocument/2006/relationships/ctrlProp" Target="../ctrlProps/ctrlProp294.xml"/><Relationship Id="rId40" Type="http://schemas.openxmlformats.org/officeDocument/2006/relationships/ctrlProp" Target="../ctrlProps/ctrlProp297.xml"/><Relationship Id="rId45" Type="http://schemas.openxmlformats.org/officeDocument/2006/relationships/ctrlProp" Target="../ctrlProps/ctrlProp302.xml"/><Relationship Id="rId53" Type="http://schemas.openxmlformats.org/officeDocument/2006/relationships/ctrlProp" Target="../ctrlProps/ctrlProp310.xml"/><Relationship Id="rId5" Type="http://schemas.openxmlformats.org/officeDocument/2006/relationships/ctrlProp" Target="../ctrlProps/ctrlProp262.xml"/><Relationship Id="rId10" Type="http://schemas.openxmlformats.org/officeDocument/2006/relationships/ctrlProp" Target="../ctrlProps/ctrlProp267.xml"/><Relationship Id="rId19" Type="http://schemas.openxmlformats.org/officeDocument/2006/relationships/ctrlProp" Target="../ctrlProps/ctrlProp276.xml"/><Relationship Id="rId31" Type="http://schemas.openxmlformats.org/officeDocument/2006/relationships/ctrlProp" Target="../ctrlProps/ctrlProp288.xml"/><Relationship Id="rId44" Type="http://schemas.openxmlformats.org/officeDocument/2006/relationships/ctrlProp" Target="../ctrlProps/ctrlProp301.xml"/><Relationship Id="rId52" Type="http://schemas.openxmlformats.org/officeDocument/2006/relationships/ctrlProp" Target="../ctrlProps/ctrlProp309.xml"/><Relationship Id="rId4" Type="http://schemas.openxmlformats.org/officeDocument/2006/relationships/ctrlProp" Target="../ctrlProps/ctrlProp261.xml"/><Relationship Id="rId9" Type="http://schemas.openxmlformats.org/officeDocument/2006/relationships/ctrlProp" Target="../ctrlProps/ctrlProp266.xml"/><Relationship Id="rId14" Type="http://schemas.openxmlformats.org/officeDocument/2006/relationships/ctrlProp" Target="../ctrlProps/ctrlProp271.xml"/><Relationship Id="rId22" Type="http://schemas.openxmlformats.org/officeDocument/2006/relationships/ctrlProp" Target="../ctrlProps/ctrlProp279.xml"/><Relationship Id="rId27" Type="http://schemas.openxmlformats.org/officeDocument/2006/relationships/ctrlProp" Target="../ctrlProps/ctrlProp284.xml"/><Relationship Id="rId30" Type="http://schemas.openxmlformats.org/officeDocument/2006/relationships/ctrlProp" Target="../ctrlProps/ctrlProp287.xml"/><Relationship Id="rId35" Type="http://schemas.openxmlformats.org/officeDocument/2006/relationships/ctrlProp" Target="../ctrlProps/ctrlProp292.xml"/><Relationship Id="rId43" Type="http://schemas.openxmlformats.org/officeDocument/2006/relationships/ctrlProp" Target="../ctrlProps/ctrlProp300.xml"/><Relationship Id="rId48" Type="http://schemas.openxmlformats.org/officeDocument/2006/relationships/ctrlProp" Target="../ctrlProps/ctrlProp305.xml"/><Relationship Id="rId8" Type="http://schemas.openxmlformats.org/officeDocument/2006/relationships/ctrlProp" Target="../ctrlProps/ctrlProp265.xml"/><Relationship Id="rId51" Type="http://schemas.openxmlformats.org/officeDocument/2006/relationships/ctrlProp" Target="../ctrlProps/ctrlProp308.xml"/><Relationship Id="rId3" Type="http://schemas.openxmlformats.org/officeDocument/2006/relationships/vmlDrawing" Target="../drawings/vmlDrawing6.vml"/><Relationship Id="rId12" Type="http://schemas.openxmlformats.org/officeDocument/2006/relationships/ctrlProp" Target="../ctrlProps/ctrlProp269.xml"/><Relationship Id="rId17" Type="http://schemas.openxmlformats.org/officeDocument/2006/relationships/ctrlProp" Target="../ctrlProps/ctrlProp274.xml"/><Relationship Id="rId25" Type="http://schemas.openxmlformats.org/officeDocument/2006/relationships/ctrlProp" Target="../ctrlProps/ctrlProp282.xml"/><Relationship Id="rId33" Type="http://schemas.openxmlformats.org/officeDocument/2006/relationships/ctrlProp" Target="../ctrlProps/ctrlProp290.xml"/><Relationship Id="rId38" Type="http://schemas.openxmlformats.org/officeDocument/2006/relationships/ctrlProp" Target="../ctrlProps/ctrlProp295.xml"/><Relationship Id="rId46" Type="http://schemas.openxmlformats.org/officeDocument/2006/relationships/ctrlProp" Target="../ctrlProps/ctrlProp303.xml"/><Relationship Id="rId20" Type="http://schemas.openxmlformats.org/officeDocument/2006/relationships/ctrlProp" Target="../ctrlProps/ctrlProp277.xml"/><Relationship Id="rId41" Type="http://schemas.openxmlformats.org/officeDocument/2006/relationships/ctrlProp" Target="../ctrlProps/ctrlProp298.xml"/><Relationship Id="rId54" Type="http://schemas.openxmlformats.org/officeDocument/2006/relationships/ctrlProp" Target="../ctrlProps/ctrlProp311.xml"/><Relationship Id="rId1" Type="http://schemas.openxmlformats.org/officeDocument/2006/relationships/printerSettings" Target="../printerSettings/printerSettings6.bin"/><Relationship Id="rId6" Type="http://schemas.openxmlformats.org/officeDocument/2006/relationships/ctrlProp" Target="../ctrlProps/ctrlProp263.xml"/><Relationship Id="rId15" Type="http://schemas.openxmlformats.org/officeDocument/2006/relationships/ctrlProp" Target="../ctrlProps/ctrlProp272.xml"/><Relationship Id="rId23" Type="http://schemas.openxmlformats.org/officeDocument/2006/relationships/ctrlProp" Target="../ctrlProps/ctrlProp280.xml"/><Relationship Id="rId28" Type="http://schemas.openxmlformats.org/officeDocument/2006/relationships/ctrlProp" Target="../ctrlProps/ctrlProp285.xml"/><Relationship Id="rId36" Type="http://schemas.openxmlformats.org/officeDocument/2006/relationships/ctrlProp" Target="../ctrlProps/ctrlProp293.xml"/><Relationship Id="rId49" Type="http://schemas.openxmlformats.org/officeDocument/2006/relationships/ctrlProp" Target="../ctrlProps/ctrlProp306.xm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322.xml"/><Relationship Id="rId18" Type="http://schemas.openxmlformats.org/officeDocument/2006/relationships/ctrlProp" Target="../ctrlProps/ctrlProp327.xml"/><Relationship Id="rId26" Type="http://schemas.openxmlformats.org/officeDocument/2006/relationships/ctrlProp" Target="../ctrlProps/ctrlProp335.xml"/><Relationship Id="rId39" Type="http://schemas.openxmlformats.org/officeDocument/2006/relationships/ctrlProp" Target="../ctrlProps/ctrlProp348.xml"/><Relationship Id="rId21" Type="http://schemas.openxmlformats.org/officeDocument/2006/relationships/ctrlProp" Target="../ctrlProps/ctrlProp330.xml"/><Relationship Id="rId34" Type="http://schemas.openxmlformats.org/officeDocument/2006/relationships/ctrlProp" Target="../ctrlProps/ctrlProp343.xml"/><Relationship Id="rId42" Type="http://schemas.openxmlformats.org/officeDocument/2006/relationships/ctrlProp" Target="../ctrlProps/ctrlProp351.xml"/><Relationship Id="rId47" Type="http://schemas.openxmlformats.org/officeDocument/2006/relationships/ctrlProp" Target="../ctrlProps/ctrlProp356.xml"/><Relationship Id="rId50" Type="http://schemas.openxmlformats.org/officeDocument/2006/relationships/ctrlProp" Target="../ctrlProps/ctrlProp359.xml"/><Relationship Id="rId55" Type="http://schemas.openxmlformats.org/officeDocument/2006/relationships/ctrlProp" Target="../ctrlProps/ctrlProp364.xml"/><Relationship Id="rId7" Type="http://schemas.openxmlformats.org/officeDocument/2006/relationships/ctrlProp" Target="../ctrlProps/ctrlProp316.xml"/><Relationship Id="rId2" Type="http://schemas.openxmlformats.org/officeDocument/2006/relationships/drawing" Target="../drawings/drawing7.xml"/><Relationship Id="rId16" Type="http://schemas.openxmlformats.org/officeDocument/2006/relationships/ctrlProp" Target="../ctrlProps/ctrlProp325.xml"/><Relationship Id="rId29" Type="http://schemas.openxmlformats.org/officeDocument/2006/relationships/ctrlProp" Target="../ctrlProps/ctrlProp338.xml"/><Relationship Id="rId11" Type="http://schemas.openxmlformats.org/officeDocument/2006/relationships/ctrlProp" Target="../ctrlProps/ctrlProp320.xml"/><Relationship Id="rId24" Type="http://schemas.openxmlformats.org/officeDocument/2006/relationships/ctrlProp" Target="../ctrlProps/ctrlProp333.xml"/><Relationship Id="rId32" Type="http://schemas.openxmlformats.org/officeDocument/2006/relationships/ctrlProp" Target="../ctrlProps/ctrlProp341.xml"/><Relationship Id="rId37" Type="http://schemas.openxmlformats.org/officeDocument/2006/relationships/ctrlProp" Target="../ctrlProps/ctrlProp346.xml"/><Relationship Id="rId40" Type="http://schemas.openxmlformats.org/officeDocument/2006/relationships/ctrlProp" Target="../ctrlProps/ctrlProp349.xml"/><Relationship Id="rId45" Type="http://schemas.openxmlformats.org/officeDocument/2006/relationships/ctrlProp" Target="../ctrlProps/ctrlProp354.xml"/><Relationship Id="rId53" Type="http://schemas.openxmlformats.org/officeDocument/2006/relationships/ctrlProp" Target="../ctrlProps/ctrlProp362.xml"/><Relationship Id="rId5" Type="http://schemas.openxmlformats.org/officeDocument/2006/relationships/ctrlProp" Target="../ctrlProps/ctrlProp314.xml"/><Relationship Id="rId10" Type="http://schemas.openxmlformats.org/officeDocument/2006/relationships/ctrlProp" Target="../ctrlProps/ctrlProp319.xml"/><Relationship Id="rId19" Type="http://schemas.openxmlformats.org/officeDocument/2006/relationships/ctrlProp" Target="../ctrlProps/ctrlProp328.xml"/><Relationship Id="rId31" Type="http://schemas.openxmlformats.org/officeDocument/2006/relationships/ctrlProp" Target="../ctrlProps/ctrlProp340.xml"/><Relationship Id="rId44" Type="http://schemas.openxmlformats.org/officeDocument/2006/relationships/ctrlProp" Target="../ctrlProps/ctrlProp353.xml"/><Relationship Id="rId52" Type="http://schemas.openxmlformats.org/officeDocument/2006/relationships/ctrlProp" Target="../ctrlProps/ctrlProp361.xml"/><Relationship Id="rId4" Type="http://schemas.openxmlformats.org/officeDocument/2006/relationships/ctrlProp" Target="../ctrlProps/ctrlProp313.xml"/><Relationship Id="rId9" Type="http://schemas.openxmlformats.org/officeDocument/2006/relationships/ctrlProp" Target="../ctrlProps/ctrlProp318.xml"/><Relationship Id="rId14" Type="http://schemas.openxmlformats.org/officeDocument/2006/relationships/ctrlProp" Target="../ctrlProps/ctrlProp323.xml"/><Relationship Id="rId22" Type="http://schemas.openxmlformats.org/officeDocument/2006/relationships/ctrlProp" Target="../ctrlProps/ctrlProp331.xml"/><Relationship Id="rId27" Type="http://schemas.openxmlformats.org/officeDocument/2006/relationships/ctrlProp" Target="../ctrlProps/ctrlProp336.xml"/><Relationship Id="rId30" Type="http://schemas.openxmlformats.org/officeDocument/2006/relationships/ctrlProp" Target="../ctrlProps/ctrlProp339.xml"/><Relationship Id="rId35" Type="http://schemas.openxmlformats.org/officeDocument/2006/relationships/ctrlProp" Target="../ctrlProps/ctrlProp344.xml"/><Relationship Id="rId43" Type="http://schemas.openxmlformats.org/officeDocument/2006/relationships/ctrlProp" Target="../ctrlProps/ctrlProp352.xml"/><Relationship Id="rId48" Type="http://schemas.openxmlformats.org/officeDocument/2006/relationships/ctrlProp" Target="../ctrlProps/ctrlProp357.xml"/><Relationship Id="rId8" Type="http://schemas.openxmlformats.org/officeDocument/2006/relationships/ctrlProp" Target="../ctrlProps/ctrlProp317.xml"/><Relationship Id="rId51" Type="http://schemas.openxmlformats.org/officeDocument/2006/relationships/ctrlProp" Target="../ctrlProps/ctrlProp360.xml"/><Relationship Id="rId3" Type="http://schemas.openxmlformats.org/officeDocument/2006/relationships/vmlDrawing" Target="../drawings/vmlDrawing7.vml"/><Relationship Id="rId12" Type="http://schemas.openxmlformats.org/officeDocument/2006/relationships/ctrlProp" Target="../ctrlProps/ctrlProp321.xml"/><Relationship Id="rId17" Type="http://schemas.openxmlformats.org/officeDocument/2006/relationships/ctrlProp" Target="../ctrlProps/ctrlProp326.xml"/><Relationship Id="rId25" Type="http://schemas.openxmlformats.org/officeDocument/2006/relationships/ctrlProp" Target="../ctrlProps/ctrlProp334.xml"/><Relationship Id="rId33" Type="http://schemas.openxmlformats.org/officeDocument/2006/relationships/ctrlProp" Target="../ctrlProps/ctrlProp342.xml"/><Relationship Id="rId38" Type="http://schemas.openxmlformats.org/officeDocument/2006/relationships/ctrlProp" Target="../ctrlProps/ctrlProp347.xml"/><Relationship Id="rId46" Type="http://schemas.openxmlformats.org/officeDocument/2006/relationships/ctrlProp" Target="../ctrlProps/ctrlProp355.xml"/><Relationship Id="rId20" Type="http://schemas.openxmlformats.org/officeDocument/2006/relationships/ctrlProp" Target="../ctrlProps/ctrlProp329.xml"/><Relationship Id="rId41" Type="http://schemas.openxmlformats.org/officeDocument/2006/relationships/ctrlProp" Target="../ctrlProps/ctrlProp350.xml"/><Relationship Id="rId54" Type="http://schemas.openxmlformats.org/officeDocument/2006/relationships/ctrlProp" Target="../ctrlProps/ctrlProp363.xml"/><Relationship Id="rId1" Type="http://schemas.openxmlformats.org/officeDocument/2006/relationships/printerSettings" Target="../printerSettings/printerSettings7.bin"/><Relationship Id="rId6" Type="http://schemas.openxmlformats.org/officeDocument/2006/relationships/ctrlProp" Target="../ctrlProps/ctrlProp315.xml"/><Relationship Id="rId15" Type="http://schemas.openxmlformats.org/officeDocument/2006/relationships/ctrlProp" Target="../ctrlProps/ctrlProp324.xml"/><Relationship Id="rId23" Type="http://schemas.openxmlformats.org/officeDocument/2006/relationships/ctrlProp" Target="../ctrlProps/ctrlProp332.xml"/><Relationship Id="rId28" Type="http://schemas.openxmlformats.org/officeDocument/2006/relationships/ctrlProp" Target="../ctrlProps/ctrlProp337.xml"/><Relationship Id="rId36" Type="http://schemas.openxmlformats.org/officeDocument/2006/relationships/ctrlProp" Target="../ctrlProps/ctrlProp345.xml"/><Relationship Id="rId49" Type="http://schemas.openxmlformats.org/officeDocument/2006/relationships/ctrlProp" Target="../ctrlProps/ctrlProp358.xm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374.xml"/><Relationship Id="rId18" Type="http://schemas.openxmlformats.org/officeDocument/2006/relationships/ctrlProp" Target="../ctrlProps/ctrlProp379.xml"/><Relationship Id="rId26" Type="http://schemas.openxmlformats.org/officeDocument/2006/relationships/ctrlProp" Target="../ctrlProps/ctrlProp387.xml"/><Relationship Id="rId39" Type="http://schemas.openxmlformats.org/officeDocument/2006/relationships/ctrlProp" Target="../ctrlProps/ctrlProp400.xml"/><Relationship Id="rId21" Type="http://schemas.openxmlformats.org/officeDocument/2006/relationships/ctrlProp" Target="../ctrlProps/ctrlProp382.xml"/><Relationship Id="rId34" Type="http://schemas.openxmlformats.org/officeDocument/2006/relationships/ctrlProp" Target="../ctrlProps/ctrlProp395.xml"/><Relationship Id="rId42" Type="http://schemas.openxmlformats.org/officeDocument/2006/relationships/ctrlProp" Target="../ctrlProps/ctrlProp403.xml"/><Relationship Id="rId47" Type="http://schemas.openxmlformats.org/officeDocument/2006/relationships/ctrlProp" Target="../ctrlProps/ctrlProp408.xml"/><Relationship Id="rId50" Type="http://schemas.openxmlformats.org/officeDocument/2006/relationships/ctrlProp" Target="../ctrlProps/ctrlProp411.xml"/><Relationship Id="rId55" Type="http://schemas.openxmlformats.org/officeDocument/2006/relationships/ctrlProp" Target="../ctrlProps/ctrlProp416.xml"/><Relationship Id="rId7" Type="http://schemas.openxmlformats.org/officeDocument/2006/relationships/ctrlProp" Target="../ctrlProps/ctrlProp368.xml"/><Relationship Id="rId2" Type="http://schemas.openxmlformats.org/officeDocument/2006/relationships/drawing" Target="../drawings/drawing8.xml"/><Relationship Id="rId16" Type="http://schemas.openxmlformats.org/officeDocument/2006/relationships/ctrlProp" Target="../ctrlProps/ctrlProp377.xml"/><Relationship Id="rId29" Type="http://schemas.openxmlformats.org/officeDocument/2006/relationships/ctrlProp" Target="../ctrlProps/ctrlProp390.xml"/><Relationship Id="rId11" Type="http://schemas.openxmlformats.org/officeDocument/2006/relationships/ctrlProp" Target="../ctrlProps/ctrlProp372.xml"/><Relationship Id="rId24" Type="http://schemas.openxmlformats.org/officeDocument/2006/relationships/ctrlProp" Target="../ctrlProps/ctrlProp385.xml"/><Relationship Id="rId32" Type="http://schemas.openxmlformats.org/officeDocument/2006/relationships/ctrlProp" Target="../ctrlProps/ctrlProp393.xml"/><Relationship Id="rId37" Type="http://schemas.openxmlformats.org/officeDocument/2006/relationships/ctrlProp" Target="../ctrlProps/ctrlProp398.xml"/><Relationship Id="rId40" Type="http://schemas.openxmlformats.org/officeDocument/2006/relationships/ctrlProp" Target="../ctrlProps/ctrlProp401.xml"/><Relationship Id="rId45" Type="http://schemas.openxmlformats.org/officeDocument/2006/relationships/ctrlProp" Target="../ctrlProps/ctrlProp406.xml"/><Relationship Id="rId53" Type="http://schemas.openxmlformats.org/officeDocument/2006/relationships/ctrlProp" Target="../ctrlProps/ctrlProp414.xml"/><Relationship Id="rId5" Type="http://schemas.openxmlformats.org/officeDocument/2006/relationships/ctrlProp" Target="../ctrlProps/ctrlProp366.xml"/><Relationship Id="rId10" Type="http://schemas.openxmlformats.org/officeDocument/2006/relationships/ctrlProp" Target="../ctrlProps/ctrlProp371.xml"/><Relationship Id="rId19" Type="http://schemas.openxmlformats.org/officeDocument/2006/relationships/ctrlProp" Target="../ctrlProps/ctrlProp380.xml"/><Relationship Id="rId31" Type="http://schemas.openxmlformats.org/officeDocument/2006/relationships/ctrlProp" Target="../ctrlProps/ctrlProp392.xml"/><Relationship Id="rId44" Type="http://schemas.openxmlformats.org/officeDocument/2006/relationships/ctrlProp" Target="../ctrlProps/ctrlProp405.xml"/><Relationship Id="rId52" Type="http://schemas.openxmlformats.org/officeDocument/2006/relationships/ctrlProp" Target="../ctrlProps/ctrlProp413.xml"/><Relationship Id="rId4" Type="http://schemas.openxmlformats.org/officeDocument/2006/relationships/ctrlProp" Target="../ctrlProps/ctrlProp365.xml"/><Relationship Id="rId9" Type="http://schemas.openxmlformats.org/officeDocument/2006/relationships/ctrlProp" Target="../ctrlProps/ctrlProp370.xml"/><Relationship Id="rId14" Type="http://schemas.openxmlformats.org/officeDocument/2006/relationships/ctrlProp" Target="../ctrlProps/ctrlProp375.xml"/><Relationship Id="rId22" Type="http://schemas.openxmlformats.org/officeDocument/2006/relationships/ctrlProp" Target="../ctrlProps/ctrlProp383.xml"/><Relationship Id="rId27" Type="http://schemas.openxmlformats.org/officeDocument/2006/relationships/ctrlProp" Target="../ctrlProps/ctrlProp388.xml"/><Relationship Id="rId30" Type="http://schemas.openxmlformats.org/officeDocument/2006/relationships/ctrlProp" Target="../ctrlProps/ctrlProp391.xml"/><Relationship Id="rId35" Type="http://schemas.openxmlformats.org/officeDocument/2006/relationships/ctrlProp" Target="../ctrlProps/ctrlProp396.xml"/><Relationship Id="rId43" Type="http://schemas.openxmlformats.org/officeDocument/2006/relationships/ctrlProp" Target="../ctrlProps/ctrlProp404.xml"/><Relationship Id="rId48" Type="http://schemas.openxmlformats.org/officeDocument/2006/relationships/ctrlProp" Target="../ctrlProps/ctrlProp409.xml"/><Relationship Id="rId8" Type="http://schemas.openxmlformats.org/officeDocument/2006/relationships/ctrlProp" Target="../ctrlProps/ctrlProp369.xml"/><Relationship Id="rId51" Type="http://schemas.openxmlformats.org/officeDocument/2006/relationships/ctrlProp" Target="../ctrlProps/ctrlProp412.xml"/><Relationship Id="rId3" Type="http://schemas.openxmlformats.org/officeDocument/2006/relationships/vmlDrawing" Target="../drawings/vmlDrawing8.vml"/><Relationship Id="rId12" Type="http://schemas.openxmlformats.org/officeDocument/2006/relationships/ctrlProp" Target="../ctrlProps/ctrlProp373.xml"/><Relationship Id="rId17" Type="http://schemas.openxmlformats.org/officeDocument/2006/relationships/ctrlProp" Target="../ctrlProps/ctrlProp378.xml"/><Relationship Id="rId25" Type="http://schemas.openxmlformats.org/officeDocument/2006/relationships/ctrlProp" Target="../ctrlProps/ctrlProp386.xml"/><Relationship Id="rId33" Type="http://schemas.openxmlformats.org/officeDocument/2006/relationships/ctrlProp" Target="../ctrlProps/ctrlProp394.xml"/><Relationship Id="rId38" Type="http://schemas.openxmlformats.org/officeDocument/2006/relationships/ctrlProp" Target="../ctrlProps/ctrlProp399.xml"/><Relationship Id="rId46" Type="http://schemas.openxmlformats.org/officeDocument/2006/relationships/ctrlProp" Target="../ctrlProps/ctrlProp407.xml"/><Relationship Id="rId20" Type="http://schemas.openxmlformats.org/officeDocument/2006/relationships/ctrlProp" Target="../ctrlProps/ctrlProp381.xml"/><Relationship Id="rId41" Type="http://schemas.openxmlformats.org/officeDocument/2006/relationships/ctrlProp" Target="../ctrlProps/ctrlProp402.xml"/><Relationship Id="rId54" Type="http://schemas.openxmlformats.org/officeDocument/2006/relationships/ctrlProp" Target="../ctrlProps/ctrlProp415.xml"/><Relationship Id="rId1" Type="http://schemas.openxmlformats.org/officeDocument/2006/relationships/printerSettings" Target="../printerSettings/printerSettings8.bin"/><Relationship Id="rId6" Type="http://schemas.openxmlformats.org/officeDocument/2006/relationships/ctrlProp" Target="../ctrlProps/ctrlProp367.xml"/><Relationship Id="rId15" Type="http://schemas.openxmlformats.org/officeDocument/2006/relationships/ctrlProp" Target="../ctrlProps/ctrlProp376.xml"/><Relationship Id="rId23" Type="http://schemas.openxmlformats.org/officeDocument/2006/relationships/ctrlProp" Target="../ctrlProps/ctrlProp384.xml"/><Relationship Id="rId28" Type="http://schemas.openxmlformats.org/officeDocument/2006/relationships/ctrlProp" Target="../ctrlProps/ctrlProp389.xml"/><Relationship Id="rId36" Type="http://schemas.openxmlformats.org/officeDocument/2006/relationships/ctrlProp" Target="../ctrlProps/ctrlProp397.xml"/><Relationship Id="rId49" Type="http://schemas.openxmlformats.org/officeDocument/2006/relationships/ctrlProp" Target="../ctrlProps/ctrlProp4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BEC06-0A16-4469-8B41-9F1D525DFE26}">
  <dimension ref="A1:A62"/>
  <sheetViews>
    <sheetView topLeftCell="A34" workbookViewId="0">
      <selection activeCell="A55" sqref="A55"/>
    </sheetView>
  </sheetViews>
  <sheetFormatPr defaultRowHeight="16.5"/>
  <cols>
    <col min="1" max="1" width="80.25" customWidth="1"/>
  </cols>
  <sheetData>
    <row r="1" spans="1:1">
      <c r="A1" t="s">
        <v>457</v>
      </c>
    </row>
    <row r="2" spans="1:1">
      <c r="A2" t="str" cm="1">
        <f t="array" ref="A2:A62">_xlfn._xlws.FILTER(near_miss_excel_view__2[제목] &amp; " / " &amp; TEXT(near_miss_excel_view__2[발생일시],"yyyy-mm-dd"), near_miss_excel_view__2[제목]&lt;&gt;"")</f>
        <v>우수 맨홀 뚜껑 밀림으로 전도 / 2025-01-09</v>
      </c>
    </row>
    <row r="3" spans="1:1">
      <c r="A3" t="str">
        <v>사다리에 손가락 끼임 / 2025-03-11</v>
      </c>
    </row>
    <row r="4" spans="1:1">
      <c r="A4" t="str">
        <v>작업중 위에서 떨어지는 낙화물 / 2025-03-18</v>
      </c>
    </row>
    <row r="5" spans="1:1">
      <c r="A5" t="str">
        <v>케이블 포설 중 요통발생 / 2025-03-21</v>
      </c>
    </row>
    <row r="6" spans="1:1">
      <c r="A6" t="str">
        <v>호이스트 강제개방 고장 및 추락위험 / 2025-03-26</v>
      </c>
    </row>
    <row r="7" spans="1:1">
      <c r="A7" t="str">
        <v>전기실 악세스플로어가 내려앉으면서 발이빠짐 / 2025-03-28</v>
      </c>
    </row>
    <row r="8" spans="1:1">
      <c r="A8" t="str">
        <v>세트앙카에 안전모가 부딪힐 뻔 함. / 2025-04-07</v>
      </c>
    </row>
    <row r="9" spans="1:1">
      <c r="A9" t="str">
        <v>야간 작업시 시야확보에 따른 찰과상 / 2025-04-15</v>
      </c>
    </row>
    <row r="10" spans="1:1">
      <c r="A10" t="str">
        <v>고소차량 탑승 전 안전난간 설치 중 손가락이 끼일 뻔 함 / 2025-05-07</v>
      </c>
    </row>
    <row r="11" spans="1:1">
      <c r="A11" t="str">
        <v>바닥에 있는 설비배관에 발이 걸려 넘어질 뻔함 / 2025-05-07</v>
      </c>
    </row>
    <row r="12" spans="1:1">
      <c r="A12" t="str">
        <v>TR 운반 중 바닥이 미끄러워 넘어질 뻔 함 / 2025-05-14</v>
      </c>
    </row>
    <row r="13" spans="1:1">
      <c r="A13" t="str">
        <v>크레인 케이블 수리하는 중 상부 구조물에 머리를 부딪힐 뻔함 / 2025-05-30</v>
      </c>
    </row>
    <row r="14" spans="1:1">
      <c r="A14" t="str">
        <v>케이블을 무리하게 당기다가 근육통 발생함 / 2025-06-12</v>
      </c>
    </row>
    <row r="15" spans="1:1">
      <c r="A15" t="str">
        <v>케이블 포설 중 손이 미끄러워 넘어질뻔 함 / 2025-08-01</v>
      </c>
    </row>
    <row r="16" spans="1:1">
      <c r="A16" t="str">
        <v>감전위험 / 2025-08-01</v>
      </c>
    </row>
    <row r="17" spans="1:1">
      <c r="A17" t="str">
        <v>철판 팁에 찰과상 발생 / 2025-08-06</v>
      </c>
    </row>
    <row r="18" spans="1:1">
      <c r="A18" t="str">
        <v>바닥이 미끄러워 넘어질 뻔 함 / 2025-08-07</v>
      </c>
    </row>
    <row r="19" spans="1:1">
      <c r="A19" t="str">
        <v>용접된 제품을 잡다가 화상 입을 뻔함. / 2025-08-11</v>
      </c>
    </row>
    <row r="20" spans="1:1">
      <c r="A20" t="str">
        <v>휘어진 계단 발판을 딛다가 넘어질뻔 함 / 2025-08-22</v>
      </c>
    </row>
    <row r="21" spans="1:1">
      <c r="A21" t="str">
        <v>계단 이용시 미끌림 / 2025-09-01</v>
      </c>
    </row>
    <row r="22" spans="1:1">
      <c r="A22" t="str">
        <v>야간작업시 장애물 부딫침 / 2025-09-03</v>
      </c>
    </row>
    <row r="23" spans="1:1">
      <c r="A23" t="str">
        <v>왼손으로 볼트를 풀다가 근육통 발생 / 2025-09-04</v>
      </c>
    </row>
    <row r="24" spans="1:1">
      <c r="A24" t="str">
        <v>전선관 절단부 거스러미에 손가락 베임 / 2025-09-10</v>
      </c>
    </row>
    <row r="25" spans="1:1">
      <c r="A25" t="str">
        <v>볼트 채결시 장갑 끼임 / 2025-10-20</v>
      </c>
    </row>
    <row r="26" spans="1:1">
      <c r="A26" t="str">
        <v>목재 파레트를 운반 중 나무가시에 찔림 / 2025-10-28</v>
      </c>
    </row>
    <row r="27" spans="1:1">
      <c r="A27" t="str">
        <v>젠어스(접지몰탈) 하차 중 허리 통증 발생 / 2025-10-30</v>
      </c>
    </row>
    <row r="28" spans="1:1">
      <c r="A28" t="str">
        <v>자재정리정돈중 저선관 발고 미끄러질번함 / 2025-10-31</v>
      </c>
    </row>
    <row r="29" spans="1:1">
      <c r="A29" t="str">
        <v>이동 중 미끄러져 넘어질 뻔함 / 2025-11-03</v>
      </c>
    </row>
    <row r="30" spans="1:1">
      <c r="A30" t="str">
        <v>프로브 냉각수 교체하다가 손등화상입음 / 2025-11-12</v>
      </c>
    </row>
    <row r="31" spans="1:1">
      <c r="A31" t="str">
        <v>이동 중 에어라인에 머리가 부딪힘 / 2025-11-13</v>
      </c>
    </row>
    <row r="32" spans="1:1">
      <c r="A32" t="str">
        <v>필터를 들고 가다가 에어호스에 걸려 넘어질 뻔함 / 2025-11-17</v>
      </c>
    </row>
    <row r="33" spans="1:1">
      <c r="A33" t="str">
        <v>이동중 장애물에 걸려 넘어짐 / 2025-11-18</v>
      </c>
    </row>
    <row r="34" spans="1:1">
      <c r="A34" t="str">
        <v>안전난간 미고정으로 잡다가 넘어질 뻔함. / 2025-11-19</v>
      </c>
    </row>
    <row r="35" spans="1:1">
      <c r="A35" t="str">
        <v>전기작업을 위해 천정의 텍스를 열다가 벽돌에 맞음 / 2026-01-07</v>
      </c>
    </row>
    <row r="36" spans="1:1">
      <c r="A36" t="str">
        <v>야간에 이동시 미끄러짐 / 2026-01-20</v>
      </c>
    </row>
    <row r="37" spans="1:1">
      <c r="A37" t="str">
        <v>구조물에 안전모 부딪힘 / 2026-01-20</v>
      </c>
    </row>
    <row r="38" spans="1:1">
      <c r="A38" t="str">
        <v>계단 이동중 미끄러짐 / 2026-01-21</v>
      </c>
    </row>
    <row r="39" spans="1:1">
      <c r="A39" t="str">
        <v>미끄러짐 / 2026-01-22</v>
      </c>
    </row>
    <row r="40" spans="1:1">
      <c r="A40" t="str">
        <v>리프트에서 내릴때 작업발판 접지름 / 2026-01-25</v>
      </c>
    </row>
    <row r="41" spans="1:1">
      <c r="A41" t="str">
        <v>계단 미끄러짐 / 2026-01-28</v>
      </c>
    </row>
    <row r="42" spans="1:1">
      <c r="A42" t="str">
        <v>고드름 낙하 / 2026-02-13</v>
      </c>
    </row>
    <row r="43" spans="1:1">
      <c r="A43" t="str">
        <v>낙하물 / 2026-02-23</v>
      </c>
    </row>
    <row r="44" spans="1:1">
      <c r="A44" t="str">
        <v>낙하물에 의한 위험 / 2026-02-23</v>
      </c>
    </row>
    <row r="45" spans="1:1">
      <c r="A45" t="str">
        <v>이젝터 부품 해체 중 손이 주변 구조물에 부딪침 / 2026-02-24</v>
      </c>
    </row>
    <row r="46" spans="1:1">
      <c r="A46" t="str">
        <v>계단 이동중 상부구조물 충돌 / 2026-02-24</v>
      </c>
    </row>
    <row r="47" spans="1:1">
      <c r="A47" t="str">
        <v>프로브 조립시 수공구에 의한 찍힘 / 2026-03-10</v>
      </c>
    </row>
    <row r="48" spans="1:1">
      <c r="A48" t="str">
        <v>공구 사용하다 찰과상 / 2026-03-11</v>
      </c>
    </row>
    <row r="49" spans="1:1">
      <c r="A49" t="str">
        <v>야간작업시 계단올라갔을때 넘어짐 / 2026-03-12</v>
      </c>
    </row>
    <row r="50" spans="1:1">
      <c r="A50" t="str">
        <v>그라인더 사용중 불티 화상 / 2026-03-22</v>
      </c>
    </row>
    <row r="51" spans="1:1">
      <c r="A51" t="str">
        <v>소통 미비로 결선 중 단락 사고 발생할 뻔 함. / 2026-03-25</v>
      </c>
    </row>
    <row r="52" spans="1:1">
      <c r="A52" t="str">
        <v>440V 감전사고 / 2026-03-26</v>
      </c>
    </row>
    <row r="53" spans="1:1">
      <c r="A53" t="str">
        <v>습기에 의한 미끄러짐 / 2026-03-26</v>
      </c>
    </row>
    <row r="54" spans="1:1">
      <c r="A54" t="str">
        <v>나무 가시에 찔림 / 2026-03-29</v>
      </c>
    </row>
    <row r="55" spans="1:1">
      <c r="A55" t="str">
        <v>계단에서 미끄러짐 / 2026-04-01</v>
      </c>
    </row>
    <row r="56" spans="1:1">
      <c r="A56" t="str">
        <v>4호 inlet 이젝터 청소 작업 중 이젝터 나사가 바닥에 떨어짐, 나사를 찾으려다 바닥에 넘어질뻔함 / 2026-04-02</v>
      </c>
    </row>
    <row r="57" spans="1:1">
      <c r="A57" t="str">
        <v>공구 사용하다 칠과상 / 2026-04-03</v>
      </c>
    </row>
    <row r="58" spans="1:1">
      <c r="A58" t="str">
        <v>판넬 이송 중 머리 부딪힘 / 2026-04-13</v>
      </c>
    </row>
    <row r="59" spans="1:1">
      <c r="A59" t="str">
        <v>광산현대화 BC2 벨트에서 이동식 비계를 옮기던 중 미끄러짐 / 2026-04-13</v>
      </c>
    </row>
    <row r="60" spans="1:1">
      <c r="A60" t="str">
        <v>그라인더 작업 중 쉿가루 튐 / 2026-04-15</v>
      </c>
    </row>
    <row r="61" spans="1:1">
      <c r="A61" t="str">
        <v>사다리 이동중 무릎, 팔 타박상 / 2026-04-16</v>
      </c>
    </row>
    <row r="62" spans="1:1">
      <c r="A62" t="str">
        <v>4k kiln inlet 계단 올라갈 때 배관에 헬멧 박아서 계단에서 넘어질 뻔함 / 2026-04-18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2907-3C5C-41DA-8AC4-C457D35F7385}">
  <dimension ref="A1:N62"/>
  <sheetViews>
    <sheetView workbookViewId="0">
      <selection sqref="A1:N62"/>
    </sheetView>
  </sheetViews>
  <sheetFormatPr defaultRowHeight="16.5"/>
  <cols>
    <col min="1" max="1" width="11.375" style="1" bestFit="1" customWidth="1"/>
    <col min="2" max="2" width="11.25" style="1" bestFit="1" customWidth="1"/>
    <col min="3" max="3" width="81" style="1" bestFit="1" customWidth="1"/>
    <col min="4" max="4" width="16.625" style="1" bestFit="1" customWidth="1"/>
    <col min="5" max="5" width="29.875" style="1" bestFit="1" customWidth="1"/>
    <col min="6" max="7" width="81" style="1" bestFit="1" customWidth="1"/>
    <col min="8" max="8" width="13.75" style="1" bestFit="1" customWidth="1"/>
    <col min="9" max="9" width="16" style="1" bestFit="1" customWidth="1"/>
    <col min="10" max="10" width="19.75" style="1" bestFit="1" customWidth="1"/>
    <col min="11" max="11" width="22.75" style="1" bestFit="1" customWidth="1"/>
    <col min="12" max="12" width="16" style="1" bestFit="1" customWidth="1"/>
    <col min="13" max="13" width="81" style="1" bestFit="1" customWidth="1"/>
    <col min="14" max="14" width="81" style="1" customWidth="1"/>
    <col min="15" max="16" width="16" bestFit="1" customWidth="1"/>
  </cols>
  <sheetData>
    <row r="1" spans="1:14">
      <c r="A1" s="1" t="s">
        <v>349</v>
      </c>
      <c r="B1" s="1" t="s">
        <v>357</v>
      </c>
      <c r="C1" s="1" t="s">
        <v>350</v>
      </c>
      <c r="D1" s="1" t="s">
        <v>351</v>
      </c>
      <c r="E1" s="1" t="s">
        <v>352</v>
      </c>
      <c r="F1" s="1" t="s">
        <v>353</v>
      </c>
      <c r="G1" s="1" t="s">
        <v>354</v>
      </c>
      <c r="H1" s="1" t="s">
        <v>0</v>
      </c>
      <c r="I1" t="s">
        <v>1</v>
      </c>
      <c r="J1" t="s">
        <v>2</v>
      </c>
      <c r="K1" t="s">
        <v>440</v>
      </c>
      <c r="L1" t="s">
        <v>441</v>
      </c>
      <c r="M1" s="1" t="s">
        <v>355</v>
      </c>
      <c r="N1" s="1" t="s">
        <v>356</v>
      </c>
    </row>
    <row r="2" spans="1:14">
      <c r="A2">
        <v>1</v>
      </c>
      <c r="B2" s="3" t="s">
        <v>3</v>
      </c>
      <c r="C2" s="3" t="s">
        <v>4</v>
      </c>
      <c r="D2" s="2">
        <v>45666.388888888891</v>
      </c>
      <c r="E2" s="3" t="s">
        <v>5</v>
      </c>
      <c r="F2" s="3" t="s">
        <v>6</v>
      </c>
      <c r="G2" s="3" t="s">
        <v>282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12</v>
      </c>
    </row>
    <row r="3" spans="1:14">
      <c r="A3">
        <v>3</v>
      </c>
      <c r="B3" s="3" t="s">
        <v>22</v>
      </c>
      <c r="C3" s="3" t="s">
        <v>23</v>
      </c>
      <c r="D3" s="2">
        <v>45727.550694444442</v>
      </c>
      <c r="E3" s="3" t="s">
        <v>247</v>
      </c>
      <c r="F3" s="3" t="s">
        <v>24</v>
      </c>
      <c r="G3" s="3" t="s">
        <v>284</v>
      </c>
      <c r="H3" s="3" t="s">
        <v>25</v>
      </c>
      <c r="I3" s="3" t="s">
        <v>26</v>
      </c>
      <c r="J3" s="3" t="s">
        <v>27</v>
      </c>
      <c r="K3" s="3" t="s">
        <v>28</v>
      </c>
      <c r="L3" s="3" t="s">
        <v>11</v>
      </c>
      <c r="M3" s="3" t="s">
        <v>29</v>
      </c>
      <c r="N3" s="3" t="s">
        <v>29</v>
      </c>
    </row>
    <row r="4" spans="1:14">
      <c r="A4">
        <v>5</v>
      </c>
      <c r="B4" s="3" t="s">
        <v>37</v>
      </c>
      <c r="C4" s="3" t="s">
        <v>38</v>
      </c>
      <c r="D4" s="2">
        <v>45734.59375</v>
      </c>
      <c r="E4" s="3" t="s">
        <v>39</v>
      </c>
      <c r="F4" s="3" t="s">
        <v>40</v>
      </c>
      <c r="G4" s="3" t="s">
        <v>287</v>
      </c>
      <c r="H4" s="3" t="s">
        <v>41</v>
      </c>
      <c r="I4" s="3" t="s">
        <v>42</v>
      </c>
      <c r="J4" s="3" t="s">
        <v>43</v>
      </c>
      <c r="K4" s="3" t="s">
        <v>10</v>
      </c>
      <c r="L4" s="3" t="s">
        <v>11</v>
      </c>
      <c r="M4" s="3" t="s">
        <v>44</v>
      </c>
      <c r="N4" s="3" t="s">
        <v>44</v>
      </c>
    </row>
    <row r="5" spans="1:14">
      <c r="A5">
        <v>2</v>
      </c>
      <c r="B5" s="3" t="s">
        <v>13</v>
      </c>
      <c r="C5" s="3" t="s">
        <v>14</v>
      </c>
      <c r="D5" s="2">
        <v>45737.590277777781</v>
      </c>
      <c r="E5" s="3" t="s">
        <v>15</v>
      </c>
      <c r="F5" s="3" t="s">
        <v>16</v>
      </c>
      <c r="G5" s="3" t="s">
        <v>283</v>
      </c>
      <c r="H5" s="3" t="s">
        <v>17</v>
      </c>
      <c r="I5" s="3" t="s">
        <v>18</v>
      </c>
      <c r="J5" s="3" t="s">
        <v>19</v>
      </c>
      <c r="K5" s="3" t="s">
        <v>20</v>
      </c>
      <c r="L5" s="3" t="s">
        <v>11</v>
      </c>
      <c r="M5" s="3" t="s">
        <v>21</v>
      </c>
      <c r="N5" s="3" t="s">
        <v>21</v>
      </c>
    </row>
    <row r="6" spans="1:14">
      <c r="A6">
        <v>4</v>
      </c>
      <c r="B6" s="3" t="s">
        <v>30</v>
      </c>
      <c r="C6" s="3" t="s">
        <v>248</v>
      </c>
      <c r="D6" s="2">
        <v>45742.461805555555</v>
      </c>
      <c r="E6" s="3" t="s">
        <v>31</v>
      </c>
      <c r="F6" s="3" t="s">
        <v>249</v>
      </c>
      <c r="G6" s="3" t="s">
        <v>285</v>
      </c>
      <c r="H6" s="3" t="s">
        <v>7</v>
      </c>
      <c r="I6" s="3" t="s">
        <v>250</v>
      </c>
      <c r="J6" s="3" t="s">
        <v>9</v>
      </c>
      <c r="K6" s="3" t="s">
        <v>58</v>
      </c>
      <c r="L6" s="3" t="s">
        <v>11</v>
      </c>
      <c r="M6" s="3" t="s">
        <v>286</v>
      </c>
      <c r="N6" s="3" t="s">
        <v>286</v>
      </c>
    </row>
    <row r="7" spans="1:14">
      <c r="A7">
        <v>6</v>
      </c>
      <c r="B7" s="3" t="s">
        <v>45</v>
      </c>
      <c r="C7" s="3" t="s">
        <v>46</v>
      </c>
      <c r="D7" s="2">
        <v>45744.395833333336</v>
      </c>
      <c r="E7" s="3" t="s">
        <v>47</v>
      </c>
      <c r="F7" s="3" t="s">
        <v>48</v>
      </c>
      <c r="G7" s="3" t="s">
        <v>288</v>
      </c>
      <c r="H7" s="3" t="s">
        <v>7</v>
      </c>
      <c r="I7" s="3" t="s">
        <v>49</v>
      </c>
      <c r="J7" s="3" t="s">
        <v>50</v>
      </c>
      <c r="K7" s="3" t="s">
        <v>28</v>
      </c>
      <c r="L7" s="3" t="s">
        <v>11</v>
      </c>
      <c r="M7" s="3" t="s">
        <v>51</v>
      </c>
      <c r="N7" s="3" t="s">
        <v>51</v>
      </c>
    </row>
    <row r="8" spans="1:14">
      <c r="A8">
        <v>7</v>
      </c>
      <c r="B8" s="3" t="s">
        <v>13</v>
      </c>
      <c r="C8" s="3" t="s">
        <v>251</v>
      </c>
      <c r="D8" s="2">
        <v>45754.375</v>
      </c>
      <c r="E8" s="3" t="s">
        <v>289</v>
      </c>
      <c r="F8" s="3" t="s">
        <v>252</v>
      </c>
      <c r="G8" s="3" t="s">
        <v>290</v>
      </c>
      <c r="H8" s="3" t="s">
        <v>9</v>
      </c>
      <c r="I8" s="3" t="s">
        <v>18</v>
      </c>
      <c r="J8" s="3" t="s">
        <v>50</v>
      </c>
      <c r="K8" s="3" t="s">
        <v>10</v>
      </c>
      <c r="L8" s="3" t="s">
        <v>11</v>
      </c>
      <c r="M8" s="3" t="s">
        <v>52</v>
      </c>
      <c r="N8" s="3" t="s">
        <v>52</v>
      </c>
    </row>
    <row r="9" spans="1:14">
      <c r="A9">
        <v>8</v>
      </c>
      <c r="B9" s="3" t="s">
        <v>37</v>
      </c>
      <c r="C9" s="3" t="s">
        <v>53</v>
      </c>
      <c r="D9" s="2">
        <v>45762.083333333336</v>
      </c>
      <c r="E9" s="3" t="s">
        <v>54</v>
      </c>
      <c r="F9" s="3" t="s">
        <v>55</v>
      </c>
      <c r="G9" s="3" t="s">
        <v>291</v>
      </c>
      <c r="H9" s="3" t="s">
        <v>56</v>
      </c>
      <c r="I9" s="3" t="s">
        <v>57</v>
      </c>
      <c r="J9" s="3" t="s">
        <v>19</v>
      </c>
      <c r="K9" s="3" t="s">
        <v>58</v>
      </c>
      <c r="L9" s="3" t="s">
        <v>11</v>
      </c>
      <c r="M9" s="3" t="s">
        <v>59</v>
      </c>
      <c r="N9" s="3" t="s">
        <v>59</v>
      </c>
    </row>
    <row r="10" spans="1:14">
      <c r="A10">
        <v>10</v>
      </c>
      <c r="B10" s="3" t="s">
        <v>65</v>
      </c>
      <c r="C10" s="3" t="s">
        <v>66</v>
      </c>
      <c r="D10" s="2">
        <v>45784.090277777781</v>
      </c>
      <c r="E10" s="3" t="s">
        <v>67</v>
      </c>
      <c r="F10" s="3" t="s">
        <v>68</v>
      </c>
      <c r="G10" s="3" t="s">
        <v>294</v>
      </c>
      <c r="H10" s="3" t="s">
        <v>25</v>
      </c>
      <c r="I10" s="3" t="s">
        <v>26</v>
      </c>
      <c r="J10" s="3" t="s">
        <v>27</v>
      </c>
      <c r="K10" s="3" t="s">
        <v>10</v>
      </c>
      <c r="L10" s="3" t="s">
        <v>11</v>
      </c>
      <c r="M10" s="3" t="s">
        <v>69</v>
      </c>
      <c r="N10" s="3" t="s">
        <v>69</v>
      </c>
    </row>
    <row r="11" spans="1:14">
      <c r="A11">
        <v>11</v>
      </c>
      <c r="B11" s="3" t="s">
        <v>70</v>
      </c>
      <c r="C11" s="3" t="s">
        <v>71</v>
      </c>
      <c r="D11" s="2">
        <v>45784.375</v>
      </c>
      <c r="E11" s="3" t="s">
        <v>72</v>
      </c>
      <c r="F11" s="3" t="s">
        <v>73</v>
      </c>
      <c r="G11" s="3" t="s">
        <v>290</v>
      </c>
      <c r="H11" s="3" t="s">
        <v>7</v>
      </c>
      <c r="I11" s="3" t="s">
        <v>18</v>
      </c>
      <c r="J11" s="3" t="s">
        <v>50</v>
      </c>
      <c r="K11" s="3" t="s">
        <v>10</v>
      </c>
      <c r="L11" s="3" t="s">
        <v>11</v>
      </c>
      <c r="M11" s="3" t="s">
        <v>74</v>
      </c>
      <c r="N11" s="3" t="s">
        <v>74</v>
      </c>
    </row>
    <row r="12" spans="1:14">
      <c r="A12">
        <v>12</v>
      </c>
      <c r="B12" s="3" t="s">
        <v>45</v>
      </c>
      <c r="C12" s="3" t="s">
        <v>75</v>
      </c>
      <c r="D12" s="2">
        <v>45791.594444444447</v>
      </c>
      <c r="E12" s="3" t="s">
        <v>76</v>
      </c>
      <c r="F12" s="3" t="s">
        <v>77</v>
      </c>
      <c r="G12" s="3" t="s">
        <v>295</v>
      </c>
      <c r="H12" s="3" t="s">
        <v>7</v>
      </c>
      <c r="I12" s="3" t="s">
        <v>78</v>
      </c>
      <c r="J12" s="3" t="s">
        <v>50</v>
      </c>
      <c r="K12" s="3" t="s">
        <v>10</v>
      </c>
      <c r="L12" s="3" t="s">
        <v>79</v>
      </c>
      <c r="M12" s="3" t="s">
        <v>296</v>
      </c>
      <c r="N12" s="3" t="s">
        <v>296</v>
      </c>
    </row>
    <row r="13" spans="1:14">
      <c r="A13">
        <v>13</v>
      </c>
      <c r="B13" s="3" t="s">
        <v>80</v>
      </c>
      <c r="C13" s="3" t="s">
        <v>81</v>
      </c>
      <c r="D13" s="2">
        <v>45807.628472222219</v>
      </c>
      <c r="E13" s="3" t="s">
        <v>82</v>
      </c>
      <c r="F13" s="3" t="s">
        <v>83</v>
      </c>
      <c r="G13" s="3" t="s">
        <v>297</v>
      </c>
      <c r="H13" s="3" t="s">
        <v>84</v>
      </c>
      <c r="I13" s="3" t="s">
        <v>49</v>
      </c>
      <c r="J13" s="3" t="s">
        <v>19</v>
      </c>
      <c r="K13" s="3" t="s">
        <v>28</v>
      </c>
      <c r="L13" s="3" t="s">
        <v>79</v>
      </c>
      <c r="M13" s="3" t="s">
        <v>85</v>
      </c>
      <c r="N13" s="3" t="s">
        <v>85</v>
      </c>
    </row>
    <row r="14" spans="1:14">
      <c r="A14">
        <v>14</v>
      </c>
      <c r="B14" s="3" t="s">
        <v>65</v>
      </c>
      <c r="C14" s="3" t="s">
        <v>86</v>
      </c>
      <c r="D14" s="2">
        <v>45820.395833333336</v>
      </c>
      <c r="E14" s="3" t="s">
        <v>87</v>
      </c>
      <c r="F14" s="3" t="s">
        <v>88</v>
      </c>
      <c r="G14" s="3" t="s">
        <v>298</v>
      </c>
      <c r="H14" s="3" t="s">
        <v>9</v>
      </c>
      <c r="I14" s="3" t="s">
        <v>89</v>
      </c>
      <c r="J14" s="3" t="s">
        <v>90</v>
      </c>
      <c r="K14" s="3" t="s">
        <v>20</v>
      </c>
      <c r="L14" s="3" t="s">
        <v>91</v>
      </c>
      <c r="M14" s="3" t="s">
        <v>92</v>
      </c>
      <c r="N14" s="3" t="s">
        <v>92</v>
      </c>
    </row>
    <row r="15" spans="1:14">
      <c r="A15">
        <v>17</v>
      </c>
      <c r="B15" s="3" t="s">
        <v>13</v>
      </c>
      <c r="C15" s="3" t="s">
        <v>102</v>
      </c>
      <c r="D15" s="2">
        <v>45870.375</v>
      </c>
      <c r="E15" s="3" t="s">
        <v>103</v>
      </c>
      <c r="F15" s="3" t="s">
        <v>104</v>
      </c>
      <c r="G15" s="3" t="s">
        <v>301</v>
      </c>
      <c r="H15" s="3" t="s">
        <v>7</v>
      </c>
      <c r="I15" s="3" t="s">
        <v>78</v>
      </c>
      <c r="J15" s="3" t="s">
        <v>9</v>
      </c>
      <c r="K15" s="3" t="s">
        <v>20</v>
      </c>
      <c r="L15" s="3" t="s">
        <v>63</v>
      </c>
      <c r="M15" s="3" t="s">
        <v>105</v>
      </c>
      <c r="N15" s="3" t="s">
        <v>105</v>
      </c>
    </row>
    <row r="16" spans="1:14">
      <c r="A16">
        <v>9</v>
      </c>
      <c r="B16" s="3" t="s">
        <v>37</v>
      </c>
      <c r="C16" s="3" t="s">
        <v>60</v>
      </c>
      <c r="D16" s="2">
        <v>45870.420138888891</v>
      </c>
      <c r="E16" s="3" t="s">
        <v>61</v>
      </c>
      <c r="F16" s="3" t="s">
        <v>292</v>
      </c>
      <c r="G16" s="3" t="s">
        <v>293</v>
      </c>
      <c r="H16" s="3" t="s">
        <v>62</v>
      </c>
      <c r="I16" s="3" t="s">
        <v>57</v>
      </c>
      <c r="J16" s="3" t="s">
        <v>50</v>
      </c>
      <c r="K16" s="3" t="s">
        <v>10</v>
      </c>
      <c r="L16" s="3" t="s">
        <v>63</v>
      </c>
      <c r="M16" s="3" t="s">
        <v>64</v>
      </c>
      <c r="N16" s="3" t="s">
        <v>64</v>
      </c>
    </row>
    <row r="17" spans="1:14">
      <c r="A17">
        <v>15</v>
      </c>
      <c r="B17" s="3" t="s">
        <v>65</v>
      </c>
      <c r="C17" s="3" t="s">
        <v>93</v>
      </c>
      <c r="D17" s="2">
        <v>45875.379861111112</v>
      </c>
      <c r="E17" s="3" t="s">
        <v>94</v>
      </c>
      <c r="F17" s="3" t="s">
        <v>95</v>
      </c>
      <c r="G17" s="3" t="s">
        <v>299</v>
      </c>
      <c r="H17" s="3" t="s">
        <v>56</v>
      </c>
      <c r="I17" s="3" t="s">
        <v>9</v>
      </c>
      <c r="J17" s="3" t="s">
        <v>9</v>
      </c>
      <c r="K17" s="3" t="s">
        <v>10</v>
      </c>
      <c r="L17" s="3" t="s">
        <v>11</v>
      </c>
      <c r="M17" s="3" t="s">
        <v>96</v>
      </c>
      <c r="N17" s="3" t="s">
        <v>96</v>
      </c>
    </row>
    <row r="18" spans="1:14">
      <c r="A18">
        <v>16</v>
      </c>
      <c r="B18" s="3" t="s">
        <v>80</v>
      </c>
      <c r="C18" s="3" t="s">
        <v>97</v>
      </c>
      <c r="D18" s="2">
        <v>45876.4375</v>
      </c>
      <c r="E18" s="3" t="s">
        <v>98</v>
      </c>
      <c r="F18" s="3" t="s">
        <v>99</v>
      </c>
      <c r="G18" s="3" t="s">
        <v>300</v>
      </c>
      <c r="H18" s="3" t="s">
        <v>7</v>
      </c>
      <c r="I18" s="3" t="s">
        <v>100</v>
      </c>
      <c r="J18" s="3" t="s">
        <v>9</v>
      </c>
      <c r="K18" s="3" t="s">
        <v>20</v>
      </c>
      <c r="L18" s="3" t="s">
        <v>63</v>
      </c>
      <c r="M18" s="3" t="s">
        <v>101</v>
      </c>
      <c r="N18" s="3" t="s">
        <v>101</v>
      </c>
    </row>
    <row r="19" spans="1:14">
      <c r="A19">
        <v>18</v>
      </c>
      <c r="B19" s="3" t="s">
        <v>45</v>
      </c>
      <c r="C19" s="3" t="s">
        <v>106</v>
      </c>
      <c r="D19" s="2">
        <v>45880.427083333336</v>
      </c>
      <c r="E19" s="3" t="s">
        <v>107</v>
      </c>
      <c r="F19" s="3" t="s">
        <v>108</v>
      </c>
      <c r="G19" s="3" t="s">
        <v>302</v>
      </c>
      <c r="H19" s="3" t="s">
        <v>41</v>
      </c>
      <c r="I19" s="3" t="s">
        <v>9</v>
      </c>
      <c r="J19" s="3" t="s">
        <v>43</v>
      </c>
      <c r="K19" s="3" t="s">
        <v>28</v>
      </c>
      <c r="L19" s="3" t="s">
        <v>63</v>
      </c>
      <c r="M19" s="3" t="s">
        <v>109</v>
      </c>
      <c r="N19" s="3" t="s">
        <v>109</v>
      </c>
    </row>
    <row r="20" spans="1:14">
      <c r="A20">
        <v>23</v>
      </c>
      <c r="B20" s="3" t="s">
        <v>45</v>
      </c>
      <c r="C20" s="3" t="s">
        <v>127</v>
      </c>
      <c r="D20" s="2">
        <v>45891.375</v>
      </c>
      <c r="E20" s="3" t="s">
        <v>128</v>
      </c>
      <c r="F20" s="3" t="s">
        <v>129</v>
      </c>
      <c r="G20" s="3" t="s">
        <v>310</v>
      </c>
      <c r="H20" s="3" t="s">
        <v>7</v>
      </c>
      <c r="I20" s="3" t="s">
        <v>100</v>
      </c>
      <c r="J20" s="3" t="s">
        <v>50</v>
      </c>
      <c r="K20" s="3" t="s">
        <v>10</v>
      </c>
      <c r="L20" s="3" t="s">
        <v>11</v>
      </c>
      <c r="M20" s="3" t="s">
        <v>130</v>
      </c>
      <c r="N20" s="3" t="s">
        <v>130</v>
      </c>
    </row>
    <row r="21" spans="1:14">
      <c r="A21">
        <v>21</v>
      </c>
      <c r="B21" s="3" t="s">
        <v>37</v>
      </c>
      <c r="C21" s="3" t="s">
        <v>119</v>
      </c>
      <c r="D21" s="2">
        <v>45901.392361111109</v>
      </c>
      <c r="E21" s="3" t="s">
        <v>120</v>
      </c>
      <c r="F21" s="3" t="s">
        <v>307</v>
      </c>
      <c r="G21" s="3" t="s">
        <v>308</v>
      </c>
      <c r="H21" s="3" t="s">
        <v>9</v>
      </c>
      <c r="I21" s="3" t="s">
        <v>121</v>
      </c>
      <c r="J21" s="3" t="s">
        <v>19</v>
      </c>
      <c r="K21" s="3" t="s">
        <v>20</v>
      </c>
      <c r="L21" s="3" t="s">
        <v>11</v>
      </c>
      <c r="M21" s="3" t="s">
        <v>122</v>
      </c>
      <c r="N21" s="3" t="s">
        <v>122</v>
      </c>
    </row>
    <row r="22" spans="1:14">
      <c r="A22">
        <v>19</v>
      </c>
      <c r="B22" s="3" t="s">
        <v>110</v>
      </c>
      <c r="C22" s="3" t="s">
        <v>303</v>
      </c>
      <c r="D22" s="2">
        <v>45903.881944444445</v>
      </c>
      <c r="E22" s="3" t="s">
        <v>111</v>
      </c>
      <c r="F22" s="3" t="s">
        <v>112</v>
      </c>
      <c r="G22" s="3" t="s">
        <v>304</v>
      </c>
      <c r="H22" s="3" t="s">
        <v>84</v>
      </c>
      <c r="I22" s="3" t="s">
        <v>49</v>
      </c>
      <c r="J22" s="3" t="s">
        <v>19</v>
      </c>
      <c r="K22" s="3" t="s">
        <v>58</v>
      </c>
      <c r="L22" s="3" t="s">
        <v>11</v>
      </c>
      <c r="M22" s="3" t="s">
        <v>113</v>
      </c>
      <c r="N22" s="3" t="s">
        <v>113</v>
      </c>
    </row>
    <row r="23" spans="1:14">
      <c r="A23">
        <v>20</v>
      </c>
      <c r="B23" s="3" t="s">
        <v>114</v>
      </c>
      <c r="C23" s="3" t="s">
        <v>115</v>
      </c>
      <c r="D23" s="2">
        <v>45904.020833333336</v>
      </c>
      <c r="E23" s="3" t="s">
        <v>305</v>
      </c>
      <c r="F23" s="3" t="s">
        <v>116</v>
      </c>
      <c r="G23" s="3" t="s">
        <v>306</v>
      </c>
      <c r="H23" s="3" t="s">
        <v>117</v>
      </c>
      <c r="I23" s="3" t="s">
        <v>26</v>
      </c>
      <c r="J23" s="3" t="s">
        <v>50</v>
      </c>
      <c r="K23" s="3" t="s">
        <v>28</v>
      </c>
      <c r="L23" s="3" t="s">
        <v>11</v>
      </c>
      <c r="M23" s="3" t="s">
        <v>118</v>
      </c>
      <c r="N23" s="3" t="s">
        <v>118</v>
      </c>
    </row>
    <row r="24" spans="1:14">
      <c r="A24">
        <v>22</v>
      </c>
      <c r="B24" s="3" t="s">
        <v>65</v>
      </c>
      <c r="C24" s="3" t="s">
        <v>123</v>
      </c>
      <c r="D24" s="2">
        <v>45910.6875</v>
      </c>
      <c r="E24" s="3" t="s">
        <v>124</v>
      </c>
      <c r="F24" s="3" t="s">
        <v>125</v>
      </c>
      <c r="G24" s="3" t="s">
        <v>309</v>
      </c>
      <c r="H24" s="3" t="s">
        <v>56</v>
      </c>
      <c r="I24" s="3" t="s">
        <v>89</v>
      </c>
      <c r="J24" s="3" t="s">
        <v>90</v>
      </c>
      <c r="K24" s="3" t="s">
        <v>10</v>
      </c>
      <c r="L24" s="3" t="s">
        <v>79</v>
      </c>
      <c r="M24" s="3" t="s">
        <v>126</v>
      </c>
      <c r="N24" s="3" t="s">
        <v>126</v>
      </c>
    </row>
    <row r="25" spans="1:14">
      <c r="A25">
        <v>24</v>
      </c>
      <c r="B25" s="3" t="s">
        <v>37</v>
      </c>
      <c r="C25" s="3" t="s">
        <v>131</v>
      </c>
      <c r="D25" s="2">
        <v>45950.420138888891</v>
      </c>
      <c r="E25" s="3" t="s">
        <v>132</v>
      </c>
      <c r="F25" s="3" t="s">
        <v>133</v>
      </c>
      <c r="G25" s="3" t="s">
        <v>311</v>
      </c>
      <c r="H25" s="3" t="s">
        <v>56</v>
      </c>
      <c r="I25" s="3" t="s">
        <v>26</v>
      </c>
      <c r="J25" s="3" t="s">
        <v>27</v>
      </c>
      <c r="K25" s="3" t="s">
        <v>28</v>
      </c>
      <c r="L25" s="3" t="s">
        <v>63</v>
      </c>
      <c r="M25" s="3" t="s">
        <v>134</v>
      </c>
      <c r="N25" s="3" t="s">
        <v>134</v>
      </c>
    </row>
    <row r="26" spans="1:14">
      <c r="A26">
        <v>25</v>
      </c>
      <c r="B26" s="3" t="s">
        <v>80</v>
      </c>
      <c r="C26" s="3" t="s">
        <v>135</v>
      </c>
      <c r="D26" s="2">
        <v>45958.4375</v>
      </c>
      <c r="E26" s="3" t="s">
        <v>136</v>
      </c>
      <c r="F26" s="3" t="s">
        <v>137</v>
      </c>
      <c r="G26" s="3" t="s">
        <v>299</v>
      </c>
      <c r="H26" s="3" t="s">
        <v>56</v>
      </c>
      <c r="I26" s="3" t="s">
        <v>9</v>
      </c>
      <c r="J26" s="3" t="s">
        <v>9</v>
      </c>
      <c r="K26" s="3" t="s">
        <v>10</v>
      </c>
      <c r="L26" s="3" t="s">
        <v>11</v>
      </c>
      <c r="M26" s="3" t="s">
        <v>138</v>
      </c>
      <c r="N26" s="3" t="s">
        <v>138</v>
      </c>
    </row>
    <row r="27" spans="1:14">
      <c r="A27">
        <v>27</v>
      </c>
      <c r="B27" s="3" t="s">
        <v>144</v>
      </c>
      <c r="C27" s="3" t="s">
        <v>145</v>
      </c>
      <c r="D27" s="2">
        <v>45960.645833333336</v>
      </c>
      <c r="E27" s="3" t="s">
        <v>146</v>
      </c>
      <c r="F27" s="3" t="s">
        <v>147</v>
      </c>
      <c r="G27" s="3" t="s">
        <v>314</v>
      </c>
      <c r="H27" s="3" t="s">
        <v>17</v>
      </c>
      <c r="I27" s="3" t="s">
        <v>9</v>
      </c>
      <c r="J27" s="3" t="s">
        <v>19</v>
      </c>
      <c r="K27" s="3" t="s">
        <v>28</v>
      </c>
      <c r="L27" s="3" t="s">
        <v>79</v>
      </c>
      <c r="M27" s="3" t="s">
        <v>148</v>
      </c>
      <c r="N27" s="3" t="s">
        <v>148</v>
      </c>
    </row>
    <row r="28" spans="1:14">
      <c r="A28">
        <v>26</v>
      </c>
      <c r="B28" s="3" t="s">
        <v>139</v>
      </c>
      <c r="C28" s="3" t="s">
        <v>140</v>
      </c>
      <c r="D28" s="2">
        <v>45961.375</v>
      </c>
      <c r="E28" s="3" t="s">
        <v>141</v>
      </c>
      <c r="F28" s="3" t="s">
        <v>312</v>
      </c>
      <c r="G28" s="3" t="s">
        <v>313</v>
      </c>
      <c r="H28" s="3" t="s">
        <v>7</v>
      </c>
      <c r="I28" s="3" t="s">
        <v>142</v>
      </c>
      <c r="J28" s="3" t="s">
        <v>9</v>
      </c>
      <c r="K28" s="3" t="s">
        <v>10</v>
      </c>
      <c r="L28" s="3" t="s">
        <v>63</v>
      </c>
      <c r="M28" s="3" t="s">
        <v>143</v>
      </c>
      <c r="N28" s="3" t="s">
        <v>143</v>
      </c>
    </row>
    <row r="29" spans="1:14">
      <c r="A29">
        <v>28</v>
      </c>
      <c r="B29" s="3" t="s">
        <v>65</v>
      </c>
      <c r="C29" s="3" t="s">
        <v>149</v>
      </c>
      <c r="D29" s="2">
        <v>45964.541666666664</v>
      </c>
      <c r="E29" s="3" t="s">
        <v>150</v>
      </c>
      <c r="F29" s="3" t="s">
        <v>151</v>
      </c>
      <c r="G29" s="3" t="s">
        <v>315</v>
      </c>
      <c r="H29" s="3" t="s">
        <v>7</v>
      </c>
      <c r="I29" s="3" t="s">
        <v>18</v>
      </c>
      <c r="J29" s="3" t="s">
        <v>9</v>
      </c>
      <c r="K29" s="3" t="s">
        <v>20</v>
      </c>
      <c r="L29" s="3" t="s">
        <v>63</v>
      </c>
      <c r="M29" s="3" t="s">
        <v>316</v>
      </c>
      <c r="N29" s="3" t="s">
        <v>316</v>
      </c>
    </row>
    <row r="30" spans="1:14">
      <c r="A30">
        <v>32</v>
      </c>
      <c r="B30" s="3" t="s">
        <v>110</v>
      </c>
      <c r="C30" s="3" t="s">
        <v>163</v>
      </c>
      <c r="D30" s="2">
        <v>45973.645833333336</v>
      </c>
      <c r="E30" s="3" t="s">
        <v>321</v>
      </c>
      <c r="F30" s="3" t="s">
        <v>164</v>
      </c>
      <c r="G30" s="3" t="s">
        <v>322</v>
      </c>
      <c r="H30" s="3" t="s">
        <v>41</v>
      </c>
      <c r="I30" s="3" t="s">
        <v>9</v>
      </c>
      <c r="J30" s="3" t="s">
        <v>90</v>
      </c>
      <c r="K30" s="3" t="s">
        <v>58</v>
      </c>
      <c r="L30" s="3" t="s">
        <v>11</v>
      </c>
      <c r="M30" s="3" t="s">
        <v>323</v>
      </c>
      <c r="N30" s="3" t="s">
        <v>323</v>
      </c>
    </row>
    <row r="31" spans="1:14">
      <c r="A31">
        <v>29</v>
      </c>
      <c r="B31" s="3" t="s">
        <v>70</v>
      </c>
      <c r="C31" s="3" t="s">
        <v>152</v>
      </c>
      <c r="D31" s="2">
        <v>45974.420138888891</v>
      </c>
      <c r="E31" s="3" t="s">
        <v>153</v>
      </c>
      <c r="F31" s="3" t="s">
        <v>154</v>
      </c>
      <c r="G31" s="3" t="s">
        <v>317</v>
      </c>
      <c r="H31" s="3" t="s">
        <v>84</v>
      </c>
      <c r="I31" s="3" t="s">
        <v>18</v>
      </c>
      <c r="J31" s="3" t="s">
        <v>9</v>
      </c>
      <c r="K31" s="3" t="s">
        <v>58</v>
      </c>
      <c r="L31" s="3" t="s">
        <v>11</v>
      </c>
      <c r="M31" s="3" t="s">
        <v>155</v>
      </c>
      <c r="N31" s="3" t="s">
        <v>155</v>
      </c>
    </row>
    <row r="32" spans="1:14">
      <c r="A32">
        <v>33</v>
      </c>
      <c r="B32" s="3" t="s">
        <v>114</v>
      </c>
      <c r="C32" s="3" t="s">
        <v>165</v>
      </c>
      <c r="D32" s="2">
        <v>45978.604166666664</v>
      </c>
      <c r="E32" s="3" t="s">
        <v>166</v>
      </c>
      <c r="F32" s="3" t="s">
        <v>167</v>
      </c>
      <c r="G32" s="3" t="s">
        <v>324</v>
      </c>
      <c r="H32" s="3" t="s">
        <v>7</v>
      </c>
      <c r="I32" s="3" t="s">
        <v>18</v>
      </c>
      <c r="J32" s="3" t="s">
        <v>9</v>
      </c>
      <c r="K32" s="3" t="s">
        <v>10</v>
      </c>
      <c r="L32" s="3" t="s">
        <v>11</v>
      </c>
      <c r="M32" s="3" t="s">
        <v>254</v>
      </c>
      <c r="N32" s="3" t="s">
        <v>254</v>
      </c>
    </row>
    <row r="33" spans="1:14">
      <c r="A33">
        <v>31</v>
      </c>
      <c r="B33" s="3" t="s">
        <v>37</v>
      </c>
      <c r="C33" s="3" t="s">
        <v>159</v>
      </c>
      <c r="D33" s="2">
        <v>45979.461805555555</v>
      </c>
      <c r="E33" s="3" t="s">
        <v>160</v>
      </c>
      <c r="F33" s="3" t="s">
        <v>161</v>
      </c>
      <c r="G33" s="3" t="s">
        <v>320</v>
      </c>
      <c r="H33" s="3" t="s">
        <v>84</v>
      </c>
      <c r="I33" s="3" t="s">
        <v>9</v>
      </c>
      <c r="J33" s="3" t="s">
        <v>19</v>
      </c>
      <c r="K33" s="3" t="s">
        <v>10</v>
      </c>
      <c r="L33" s="3" t="s">
        <v>11</v>
      </c>
      <c r="M33" s="3" t="s">
        <v>162</v>
      </c>
      <c r="N33" s="3" t="s">
        <v>162</v>
      </c>
    </row>
    <row r="34" spans="1:14">
      <c r="A34">
        <v>30</v>
      </c>
      <c r="B34" s="3" t="s">
        <v>65</v>
      </c>
      <c r="C34" s="3" t="s">
        <v>156</v>
      </c>
      <c r="D34" s="2">
        <v>45980.416666666664</v>
      </c>
      <c r="E34" s="3" t="s">
        <v>253</v>
      </c>
      <c r="F34" s="3" t="s">
        <v>157</v>
      </c>
      <c r="G34" s="3" t="s">
        <v>318</v>
      </c>
      <c r="H34" s="3" t="s">
        <v>7</v>
      </c>
      <c r="I34" s="3" t="s">
        <v>121</v>
      </c>
      <c r="J34" s="3" t="s">
        <v>9</v>
      </c>
      <c r="K34" s="3" t="s">
        <v>20</v>
      </c>
      <c r="L34" s="3" t="s">
        <v>11</v>
      </c>
      <c r="M34" s="3" t="s">
        <v>319</v>
      </c>
      <c r="N34" s="3" t="s">
        <v>319</v>
      </c>
    </row>
    <row r="35" spans="1:14">
      <c r="A35">
        <v>34</v>
      </c>
      <c r="B35" s="3" t="s">
        <v>65</v>
      </c>
      <c r="C35" s="3" t="s">
        <v>170</v>
      </c>
      <c r="D35" s="2">
        <v>46029.604166666664</v>
      </c>
      <c r="E35" s="3" t="s">
        <v>171</v>
      </c>
      <c r="F35" s="3" t="s">
        <v>172</v>
      </c>
      <c r="G35" s="3" t="s">
        <v>325</v>
      </c>
      <c r="H35" s="3" t="s">
        <v>117</v>
      </c>
      <c r="I35" s="3" t="s">
        <v>142</v>
      </c>
      <c r="J35" s="3" t="s">
        <v>9</v>
      </c>
      <c r="K35" s="3" t="s">
        <v>28</v>
      </c>
      <c r="L35" s="3" t="s">
        <v>63</v>
      </c>
      <c r="M35" s="3" t="s">
        <v>173</v>
      </c>
      <c r="N35" s="3" t="s">
        <v>173</v>
      </c>
    </row>
    <row r="36" spans="1:14">
      <c r="A36">
        <v>38</v>
      </c>
      <c r="B36" s="3" t="s">
        <v>187</v>
      </c>
      <c r="C36" s="3" t="s">
        <v>188</v>
      </c>
      <c r="D36" s="2">
        <v>46042.125</v>
      </c>
      <c r="E36" s="3" t="s">
        <v>189</v>
      </c>
      <c r="F36" s="3" t="s">
        <v>190</v>
      </c>
      <c r="G36" s="3" t="s">
        <v>328</v>
      </c>
      <c r="H36" s="3" t="s">
        <v>9</v>
      </c>
      <c r="I36" s="3" t="s">
        <v>191</v>
      </c>
      <c r="J36" s="3" t="s">
        <v>9</v>
      </c>
      <c r="K36" s="3" t="s">
        <v>10</v>
      </c>
      <c r="L36" s="3" t="s">
        <v>11</v>
      </c>
      <c r="M36" s="3" t="s">
        <v>192</v>
      </c>
      <c r="N36" s="3" t="s">
        <v>192</v>
      </c>
    </row>
    <row r="37" spans="1:14">
      <c r="A37">
        <v>35</v>
      </c>
      <c r="B37" s="3" t="s">
        <v>22</v>
      </c>
      <c r="C37" s="3" t="s">
        <v>174</v>
      </c>
      <c r="D37" s="2">
        <v>46042.375</v>
      </c>
      <c r="E37" s="3" t="s">
        <v>255</v>
      </c>
      <c r="F37" s="3" t="s">
        <v>175</v>
      </c>
      <c r="G37" s="3" t="s">
        <v>290</v>
      </c>
      <c r="H37" s="3" t="s">
        <v>84</v>
      </c>
      <c r="I37" s="3" t="s">
        <v>18</v>
      </c>
      <c r="J37" s="3" t="s">
        <v>50</v>
      </c>
      <c r="K37" s="3" t="s">
        <v>10</v>
      </c>
      <c r="L37" s="3" t="s">
        <v>11</v>
      </c>
      <c r="M37" s="3" t="s">
        <v>176</v>
      </c>
      <c r="N37" s="3" t="s">
        <v>176</v>
      </c>
    </row>
    <row r="38" spans="1:14">
      <c r="A38">
        <v>39</v>
      </c>
      <c r="B38" s="3" t="s">
        <v>110</v>
      </c>
      <c r="C38" s="3" t="s">
        <v>193</v>
      </c>
      <c r="D38" s="2">
        <v>46043.635416666664</v>
      </c>
      <c r="E38" s="3" t="s">
        <v>194</v>
      </c>
      <c r="F38" s="3" t="s">
        <v>195</v>
      </c>
      <c r="G38" s="3" t="s">
        <v>329</v>
      </c>
      <c r="H38" s="3"/>
      <c r="I38" s="3"/>
      <c r="J38" s="3"/>
      <c r="K38" s="3"/>
      <c r="L38" s="3"/>
      <c r="M38" s="3" t="s">
        <v>330</v>
      </c>
      <c r="N38" s="3" t="s">
        <v>330</v>
      </c>
    </row>
    <row r="39" spans="1:14">
      <c r="A39">
        <v>37</v>
      </c>
      <c r="B39" s="3" t="s">
        <v>37</v>
      </c>
      <c r="C39" s="3" t="s">
        <v>182</v>
      </c>
      <c r="D39" s="2">
        <v>46044.423611111109</v>
      </c>
      <c r="E39" s="3" t="s">
        <v>183</v>
      </c>
      <c r="F39" s="3" t="s">
        <v>184</v>
      </c>
      <c r="G39" s="3" t="s">
        <v>327</v>
      </c>
      <c r="H39" s="3" t="s">
        <v>56</v>
      </c>
      <c r="I39" s="3" t="s">
        <v>185</v>
      </c>
      <c r="J39" s="3" t="s">
        <v>19</v>
      </c>
      <c r="K39" s="3" t="s">
        <v>20</v>
      </c>
      <c r="L39" s="3" t="s">
        <v>63</v>
      </c>
      <c r="M39" s="3" t="s">
        <v>186</v>
      </c>
      <c r="N39" s="3" t="s">
        <v>186</v>
      </c>
    </row>
    <row r="40" spans="1:14">
      <c r="A40">
        <v>36</v>
      </c>
      <c r="B40" s="3" t="s">
        <v>177</v>
      </c>
      <c r="C40" s="3" t="s">
        <v>178</v>
      </c>
      <c r="D40" s="2">
        <v>46047.40625</v>
      </c>
      <c r="E40" s="3" t="s">
        <v>179</v>
      </c>
      <c r="F40" s="3" t="s">
        <v>180</v>
      </c>
      <c r="G40" s="3" t="s">
        <v>326</v>
      </c>
      <c r="H40" s="3" t="s">
        <v>9</v>
      </c>
      <c r="I40" s="3" t="s">
        <v>49</v>
      </c>
      <c r="J40" s="3" t="s">
        <v>19</v>
      </c>
      <c r="K40" s="3" t="s">
        <v>28</v>
      </c>
      <c r="L40" s="3" t="s">
        <v>11</v>
      </c>
      <c r="M40" s="3" t="s">
        <v>181</v>
      </c>
      <c r="N40" s="3" t="s">
        <v>181</v>
      </c>
    </row>
    <row r="41" spans="1:14">
      <c r="A41">
        <v>40</v>
      </c>
      <c r="B41" s="3" t="s">
        <v>144</v>
      </c>
      <c r="C41" s="3" t="s">
        <v>196</v>
      </c>
      <c r="D41" s="2">
        <v>46050.472222222219</v>
      </c>
      <c r="E41" s="3" t="s">
        <v>197</v>
      </c>
      <c r="F41" s="3" t="s">
        <v>198</v>
      </c>
      <c r="G41" s="3" t="s">
        <v>331</v>
      </c>
      <c r="H41" s="3" t="s">
        <v>9</v>
      </c>
      <c r="I41" s="3" t="s">
        <v>49</v>
      </c>
      <c r="J41" s="3" t="s">
        <v>9</v>
      </c>
      <c r="K41" s="3" t="s">
        <v>10</v>
      </c>
      <c r="L41" s="3" t="s">
        <v>11</v>
      </c>
      <c r="M41" s="3" t="s">
        <v>256</v>
      </c>
      <c r="N41" s="3" t="s">
        <v>256</v>
      </c>
    </row>
    <row r="42" spans="1:14">
      <c r="A42">
        <v>45</v>
      </c>
      <c r="B42" s="3" t="s">
        <v>22</v>
      </c>
      <c r="C42" s="3" t="s">
        <v>215</v>
      </c>
      <c r="D42" s="2">
        <v>46066.583333333336</v>
      </c>
      <c r="E42" s="3" t="s">
        <v>216</v>
      </c>
      <c r="F42" s="3" t="s">
        <v>217</v>
      </c>
      <c r="G42" s="3" t="s">
        <v>324</v>
      </c>
      <c r="H42" s="3" t="s">
        <v>202</v>
      </c>
      <c r="I42" s="3" t="s">
        <v>18</v>
      </c>
      <c r="J42" s="3" t="s">
        <v>9</v>
      </c>
      <c r="K42" s="3" t="s">
        <v>10</v>
      </c>
      <c r="L42" s="3" t="s">
        <v>11</v>
      </c>
      <c r="M42" s="3" t="s">
        <v>218</v>
      </c>
      <c r="N42" s="3" t="s">
        <v>218</v>
      </c>
    </row>
    <row r="43" spans="1:14">
      <c r="A43">
        <v>41</v>
      </c>
      <c r="B43" s="3" t="s">
        <v>144</v>
      </c>
      <c r="C43" s="3" t="s">
        <v>199</v>
      </c>
      <c r="D43" s="2">
        <v>46076.4375</v>
      </c>
      <c r="E43" s="3" t="s">
        <v>200</v>
      </c>
      <c r="F43" s="3" t="s">
        <v>201</v>
      </c>
      <c r="G43" s="3" t="s">
        <v>324</v>
      </c>
      <c r="H43" s="3" t="s">
        <v>202</v>
      </c>
      <c r="I43" s="3" t="s">
        <v>18</v>
      </c>
      <c r="J43" s="3" t="s">
        <v>9</v>
      </c>
      <c r="K43" s="3" t="s">
        <v>10</v>
      </c>
      <c r="L43" s="3" t="s">
        <v>11</v>
      </c>
      <c r="M43" s="3" t="s">
        <v>203</v>
      </c>
      <c r="N43" s="3" t="s">
        <v>203</v>
      </c>
    </row>
    <row r="44" spans="1:14">
      <c r="A44">
        <v>42</v>
      </c>
      <c r="B44" s="3" t="s">
        <v>37</v>
      </c>
      <c r="C44" s="3" t="s">
        <v>204</v>
      </c>
      <c r="D44" s="2">
        <v>46076.462500000001</v>
      </c>
      <c r="E44" s="3" t="s">
        <v>205</v>
      </c>
      <c r="F44" s="3" t="s">
        <v>206</v>
      </c>
      <c r="G44" s="3" t="s">
        <v>332</v>
      </c>
      <c r="H44" s="3" t="s">
        <v>202</v>
      </c>
      <c r="I44" s="3" t="s">
        <v>9</v>
      </c>
      <c r="J44" s="3" t="s">
        <v>9</v>
      </c>
      <c r="K44" s="3" t="s">
        <v>10</v>
      </c>
      <c r="L44" s="3" t="s">
        <v>63</v>
      </c>
      <c r="M44" s="3" t="s">
        <v>207</v>
      </c>
      <c r="N44" s="3" t="s">
        <v>207</v>
      </c>
    </row>
    <row r="45" spans="1:14">
      <c r="A45">
        <v>43</v>
      </c>
      <c r="B45" s="3" t="s">
        <v>114</v>
      </c>
      <c r="C45" s="3" t="s">
        <v>208</v>
      </c>
      <c r="D45" s="2">
        <v>46077.548611111109</v>
      </c>
      <c r="E45" s="3" t="s">
        <v>132</v>
      </c>
      <c r="F45" s="3" t="s">
        <v>209</v>
      </c>
      <c r="G45" s="3" t="s">
        <v>306</v>
      </c>
      <c r="H45" s="3" t="s">
        <v>84</v>
      </c>
      <c r="I45" s="3" t="s">
        <v>26</v>
      </c>
      <c r="J45" s="3" t="s">
        <v>50</v>
      </c>
      <c r="K45" s="3" t="s">
        <v>28</v>
      </c>
      <c r="L45" s="3" t="s">
        <v>11</v>
      </c>
      <c r="M45" s="3" t="s">
        <v>210</v>
      </c>
      <c r="N45" s="3" t="s">
        <v>210</v>
      </c>
    </row>
    <row r="46" spans="1:14">
      <c r="A46">
        <v>44</v>
      </c>
      <c r="B46" s="3" t="s">
        <v>177</v>
      </c>
      <c r="C46" s="3" t="s">
        <v>211</v>
      </c>
      <c r="D46" s="2">
        <v>46077.927777777775</v>
      </c>
      <c r="E46" s="3" t="s">
        <v>212</v>
      </c>
      <c r="F46" s="3" t="s">
        <v>213</v>
      </c>
      <c r="G46" s="3" t="s">
        <v>333</v>
      </c>
      <c r="H46" s="3" t="s">
        <v>84</v>
      </c>
      <c r="I46" s="3" t="s">
        <v>78</v>
      </c>
      <c r="J46" s="3" t="s">
        <v>19</v>
      </c>
      <c r="K46" s="3" t="s">
        <v>10</v>
      </c>
      <c r="L46" s="3" t="s">
        <v>11</v>
      </c>
      <c r="M46" s="3" t="s">
        <v>214</v>
      </c>
      <c r="N46" s="3" t="s">
        <v>214</v>
      </c>
    </row>
    <row r="47" spans="1:14">
      <c r="A47">
        <v>48</v>
      </c>
      <c r="B47" s="3" t="s">
        <v>187</v>
      </c>
      <c r="C47" s="3" t="s">
        <v>226</v>
      </c>
      <c r="D47" s="2">
        <v>46091.791666666664</v>
      </c>
      <c r="E47" s="3" t="s">
        <v>227</v>
      </c>
      <c r="F47" s="3" t="s">
        <v>228</v>
      </c>
      <c r="G47" s="3" t="s">
        <v>337</v>
      </c>
      <c r="H47" s="3" t="s">
        <v>9</v>
      </c>
      <c r="I47" s="3" t="s">
        <v>9</v>
      </c>
      <c r="J47" s="3" t="s">
        <v>27</v>
      </c>
      <c r="K47" s="3" t="s">
        <v>10</v>
      </c>
      <c r="L47" s="3" t="s">
        <v>11</v>
      </c>
      <c r="M47" s="3" t="s">
        <v>229</v>
      </c>
      <c r="N47" s="3" t="s">
        <v>229</v>
      </c>
    </row>
    <row r="48" spans="1:14">
      <c r="A48">
        <v>47</v>
      </c>
      <c r="B48" s="3" t="s">
        <v>37</v>
      </c>
      <c r="C48" s="3" t="s">
        <v>222</v>
      </c>
      <c r="D48" s="2">
        <v>46092.416666666664</v>
      </c>
      <c r="E48" s="3" t="s">
        <v>223</v>
      </c>
      <c r="F48" s="3" t="s">
        <v>224</v>
      </c>
      <c r="G48" s="3" t="s">
        <v>336</v>
      </c>
      <c r="H48" s="3" t="s">
        <v>56</v>
      </c>
      <c r="I48" s="3" t="s">
        <v>26</v>
      </c>
      <c r="J48" s="3" t="s">
        <v>27</v>
      </c>
      <c r="K48" s="3" t="s">
        <v>20</v>
      </c>
      <c r="L48" s="3" t="s">
        <v>11</v>
      </c>
      <c r="M48" s="3" t="s">
        <v>225</v>
      </c>
      <c r="N48" s="3" t="s">
        <v>225</v>
      </c>
    </row>
    <row r="49" spans="1:14">
      <c r="A49">
        <v>46</v>
      </c>
      <c r="B49" s="3" t="s">
        <v>110</v>
      </c>
      <c r="C49" s="3" t="s">
        <v>219</v>
      </c>
      <c r="D49" s="2">
        <v>46093.0625</v>
      </c>
      <c r="E49" s="3" t="s">
        <v>334</v>
      </c>
      <c r="F49" s="3" t="s">
        <v>220</v>
      </c>
      <c r="G49" s="3" t="s">
        <v>335</v>
      </c>
      <c r="H49" s="3" t="s">
        <v>84</v>
      </c>
      <c r="I49" s="3" t="s">
        <v>100</v>
      </c>
      <c r="J49" s="3" t="s">
        <v>50</v>
      </c>
      <c r="K49" s="3" t="s">
        <v>58</v>
      </c>
      <c r="L49" s="3" t="s">
        <v>79</v>
      </c>
      <c r="M49" s="3" t="s">
        <v>221</v>
      </c>
      <c r="N49" s="3" t="s">
        <v>221</v>
      </c>
    </row>
    <row r="50" spans="1:14">
      <c r="A50">
        <v>60</v>
      </c>
      <c r="B50" s="3" t="s">
        <v>359</v>
      </c>
      <c r="C50" s="3" t="s">
        <v>361</v>
      </c>
      <c r="D50" s="2">
        <v>46103.32916666667</v>
      </c>
      <c r="E50" s="3" t="s">
        <v>346</v>
      </c>
      <c r="F50" s="3" t="s">
        <v>347</v>
      </c>
      <c r="G50" s="3" t="s">
        <v>348</v>
      </c>
      <c r="H50" s="3" t="s">
        <v>41</v>
      </c>
      <c r="I50" s="3" t="s">
        <v>250</v>
      </c>
      <c r="J50" s="3" t="s">
        <v>19</v>
      </c>
      <c r="K50" s="3" t="s">
        <v>28</v>
      </c>
      <c r="L50" s="3" t="s">
        <v>9</v>
      </c>
      <c r="M50" s="3" t="s">
        <v>363</v>
      </c>
      <c r="N50" s="3"/>
    </row>
    <row r="51" spans="1:14">
      <c r="A51">
        <v>49</v>
      </c>
      <c r="B51" s="3" t="s">
        <v>230</v>
      </c>
      <c r="C51" s="3" t="s">
        <v>257</v>
      </c>
      <c r="D51" s="2">
        <v>46106.673611111109</v>
      </c>
      <c r="E51" s="3" t="s">
        <v>231</v>
      </c>
      <c r="F51" s="3" t="s">
        <v>258</v>
      </c>
      <c r="G51" s="3" t="s">
        <v>338</v>
      </c>
      <c r="H51" s="3" t="s">
        <v>62</v>
      </c>
      <c r="I51" s="3" t="s">
        <v>57</v>
      </c>
      <c r="J51" s="3" t="s">
        <v>90</v>
      </c>
      <c r="K51" s="3" t="s">
        <v>28</v>
      </c>
      <c r="L51" s="3" t="s">
        <v>11</v>
      </c>
      <c r="M51" s="3" t="s">
        <v>259</v>
      </c>
      <c r="N51" s="3" t="s">
        <v>259</v>
      </c>
    </row>
    <row r="52" spans="1:14">
      <c r="A52">
        <v>50</v>
      </c>
      <c r="B52" s="3" t="s">
        <v>144</v>
      </c>
      <c r="C52" s="3" t="s">
        <v>235</v>
      </c>
      <c r="D52" s="2">
        <v>46107.625</v>
      </c>
      <c r="E52" s="3" t="s">
        <v>236</v>
      </c>
      <c r="F52" s="3" t="s">
        <v>237</v>
      </c>
      <c r="G52" s="3" t="s">
        <v>339</v>
      </c>
      <c r="H52" s="3" t="s">
        <v>62</v>
      </c>
      <c r="I52" s="3" t="s">
        <v>57</v>
      </c>
      <c r="J52" s="3" t="s">
        <v>90</v>
      </c>
      <c r="K52" s="3" t="s">
        <v>10</v>
      </c>
      <c r="L52" s="3" t="s">
        <v>11</v>
      </c>
      <c r="M52" s="3" t="s">
        <v>238</v>
      </c>
      <c r="N52" s="3" t="s">
        <v>238</v>
      </c>
    </row>
    <row r="53" spans="1:14">
      <c r="A53">
        <v>51</v>
      </c>
      <c r="B53" s="3" t="s">
        <v>144</v>
      </c>
      <c r="C53" s="3" t="s">
        <v>260</v>
      </c>
      <c r="D53" s="2">
        <v>46107.625</v>
      </c>
      <c r="E53" s="3" t="s">
        <v>236</v>
      </c>
      <c r="F53" s="3" t="s">
        <v>261</v>
      </c>
      <c r="G53" s="3" t="s">
        <v>290</v>
      </c>
      <c r="H53" s="3" t="s">
        <v>7</v>
      </c>
      <c r="I53" s="3" t="s">
        <v>18</v>
      </c>
      <c r="J53" s="3" t="s">
        <v>50</v>
      </c>
      <c r="K53" s="3" t="s">
        <v>10</v>
      </c>
      <c r="L53" s="3" t="s">
        <v>11</v>
      </c>
      <c r="M53" s="3" t="s">
        <v>262</v>
      </c>
      <c r="N53" s="3" t="s">
        <v>262</v>
      </c>
    </row>
    <row r="54" spans="1:14">
      <c r="A54">
        <v>52</v>
      </c>
      <c r="B54" s="3" t="s">
        <v>65</v>
      </c>
      <c r="C54" s="3" t="s">
        <v>263</v>
      </c>
      <c r="D54" s="2">
        <v>46110.541666666664</v>
      </c>
      <c r="E54" s="3" t="s">
        <v>264</v>
      </c>
      <c r="F54" s="3" t="s">
        <v>265</v>
      </c>
      <c r="G54" s="3" t="s">
        <v>340</v>
      </c>
      <c r="H54" s="3" t="s">
        <v>9</v>
      </c>
      <c r="I54" s="3" t="s">
        <v>26</v>
      </c>
      <c r="J54" s="3" t="s">
        <v>50</v>
      </c>
      <c r="K54" s="3" t="s">
        <v>10</v>
      </c>
      <c r="L54" s="3" t="s">
        <v>11</v>
      </c>
      <c r="M54" s="3" t="s">
        <v>266</v>
      </c>
      <c r="N54" s="3" t="s">
        <v>266</v>
      </c>
    </row>
    <row r="55" spans="1:14" ht="33">
      <c r="A55" s="1">
        <v>55</v>
      </c>
      <c r="B55" s="4" t="s">
        <v>110</v>
      </c>
      <c r="C55" s="4" t="s">
        <v>456</v>
      </c>
      <c r="D55" s="5">
        <v>46113.854166666664</v>
      </c>
      <c r="E55" s="4" t="s">
        <v>245</v>
      </c>
      <c r="F55" s="4" t="s">
        <v>442</v>
      </c>
      <c r="G55" s="4" t="s">
        <v>443</v>
      </c>
      <c r="H55" s="4" t="s">
        <v>7</v>
      </c>
      <c r="I55" s="3" t="s">
        <v>121</v>
      </c>
      <c r="J55" s="3" t="s">
        <v>9</v>
      </c>
      <c r="K55" s="3" t="s">
        <v>20</v>
      </c>
      <c r="L55" s="3" t="s">
        <v>79</v>
      </c>
      <c r="M55" s="4" t="s">
        <v>246</v>
      </c>
      <c r="N55" s="4" t="s">
        <v>246</v>
      </c>
    </row>
    <row r="56" spans="1:14">
      <c r="A56" s="1">
        <v>54</v>
      </c>
      <c r="B56" s="4" t="s">
        <v>114</v>
      </c>
      <c r="C56" s="4" t="s">
        <v>243</v>
      </c>
      <c r="D56" s="5">
        <v>46114.409722222219</v>
      </c>
      <c r="E56" s="4" t="s">
        <v>160</v>
      </c>
      <c r="F56" s="4" t="s">
        <v>453</v>
      </c>
      <c r="G56" s="4" t="s">
        <v>454</v>
      </c>
      <c r="H56" s="4" t="s">
        <v>7</v>
      </c>
      <c r="I56" s="3" t="s">
        <v>142</v>
      </c>
      <c r="J56" s="3" t="s">
        <v>19</v>
      </c>
      <c r="K56" s="3" t="s">
        <v>58</v>
      </c>
      <c r="L56" s="3" t="s">
        <v>11</v>
      </c>
      <c r="M56" s="4" t="s">
        <v>244</v>
      </c>
      <c r="N56" s="4" t="s">
        <v>244</v>
      </c>
    </row>
    <row r="57" spans="1:14" ht="33">
      <c r="A57" s="1">
        <v>53</v>
      </c>
      <c r="B57" s="4" t="s">
        <v>37</v>
      </c>
      <c r="C57" s="4" t="s">
        <v>241</v>
      </c>
      <c r="D57" s="5">
        <v>46115.379166666666</v>
      </c>
      <c r="E57" s="4" t="s">
        <v>223</v>
      </c>
      <c r="F57" s="4" t="s">
        <v>242</v>
      </c>
      <c r="G57" s="4" t="s">
        <v>450</v>
      </c>
      <c r="H57" s="4" t="s">
        <v>458</v>
      </c>
      <c r="I57" s="3" t="s">
        <v>26</v>
      </c>
      <c r="J57" s="3" t="s">
        <v>19</v>
      </c>
      <c r="K57" s="3" t="s">
        <v>20</v>
      </c>
      <c r="L57" s="3" t="s">
        <v>11</v>
      </c>
      <c r="M57" s="4" t="s">
        <v>451</v>
      </c>
      <c r="N57" s="4" t="s">
        <v>452</v>
      </c>
    </row>
    <row r="58" spans="1:14" ht="33">
      <c r="A58" s="1">
        <v>114</v>
      </c>
      <c r="B58" s="4" t="s">
        <v>144</v>
      </c>
      <c r="C58" s="4" t="s">
        <v>267</v>
      </c>
      <c r="D58" s="5">
        <v>46125.340277777781</v>
      </c>
      <c r="E58" s="4" t="s">
        <v>268</v>
      </c>
      <c r="F58" s="4" t="s">
        <v>269</v>
      </c>
      <c r="G58" s="4" t="s">
        <v>449</v>
      </c>
      <c r="H58" s="4" t="s">
        <v>7</v>
      </c>
      <c r="I58" s="3" t="s">
        <v>18</v>
      </c>
      <c r="J58" s="3" t="s">
        <v>19</v>
      </c>
      <c r="K58" s="3" t="s">
        <v>58</v>
      </c>
      <c r="L58" s="3" t="s">
        <v>63</v>
      </c>
      <c r="M58" s="4" t="s">
        <v>270</v>
      </c>
      <c r="N58" s="4" t="s">
        <v>270</v>
      </c>
    </row>
    <row r="59" spans="1:14">
      <c r="A59" s="1">
        <v>115</v>
      </c>
      <c r="B59" s="4" t="s">
        <v>144</v>
      </c>
      <c r="C59" s="4" t="s">
        <v>445</v>
      </c>
      <c r="D59" s="5">
        <v>46125.430555555555</v>
      </c>
      <c r="E59" s="4" t="s">
        <v>271</v>
      </c>
      <c r="F59" s="4" t="s">
        <v>446</v>
      </c>
      <c r="G59" s="4" t="s">
        <v>447</v>
      </c>
      <c r="H59" s="4" t="s">
        <v>7</v>
      </c>
      <c r="I59" s="3" t="s">
        <v>18</v>
      </c>
      <c r="J59" s="3" t="s">
        <v>448</v>
      </c>
      <c r="K59" s="3" t="s">
        <v>20</v>
      </c>
      <c r="L59" s="3" t="s">
        <v>11</v>
      </c>
      <c r="M59" s="4" t="s">
        <v>272</v>
      </c>
      <c r="N59" s="4" t="s">
        <v>272</v>
      </c>
    </row>
    <row r="60" spans="1:14" ht="33">
      <c r="A60" s="1">
        <v>59</v>
      </c>
      <c r="B60" s="4" t="s">
        <v>144</v>
      </c>
      <c r="C60" s="4" t="s">
        <v>278</v>
      </c>
      <c r="D60" s="5">
        <v>46127.4375</v>
      </c>
      <c r="E60" s="4" t="s">
        <v>279</v>
      </c>
      <c r="F60" s="4" t="s">
        <v>344</v>
      </c>
      <c r="G60" s="4" t="s">
        <v>345</v>
      </c>
      <c r="H60" s="4" t="s">
        <v>280</v>
      </c>
      <c r="I60" s="3" t="s">
        <v>9</v>
      </c>
      <c r="J60" s="3" t="s">
        <v>19</v>
      </c>
      <c r="K60" s="3" t="s">
        <v>28</v>
      </c>
      <c r="L60" s="3" t="s">
        <v>63</v>
      </c>
      <c r="M60" s="4" t="s">
        <v>281</v>
      </c>
      <c r="N60" s="4"/>
    </row>
    <row r="61" spans="1:14" ht="33">
      <c r="A61" s="1">
        <v>116</v>
      </c>
      <c r="B61" s="4" t="s">
        <v>187</v>
      </c>
      <c r="C61" s="4" t="s">
        <v>273</v>
      </c>
      <c r="D61" s="5">
        <v>46128.958333333336</v>
      </c>
      <c r="E61" s="4" t="s">
        <v>274</v>
      </c>
      <c r="F61" s="4" t="s">
        <v>275</v>
      </c>
      <c r="G61" s="4" t="s">
        <v>444</v>
      </c>
      <c r="H61" s="4" t="s">
        <v>84</v>
      </c>
      <c r="I61" s="3" t="s">
        <v>276</v>
      </c>
      <c r="J61" s="3" t="s">
        <v>9</v>
      </c>
      <c r="K61" s="3" t="s">
        <v>20</v>
      </c>
      <c r="L61" s="3" t="s">
        <v>11</v>
      </c>
      <c r="M61" s="4" t="s">
        <v>277</v>
      </c>
      <c r="N61" s="4" t="s">
        <v>277</v>
      </c>
    </row>
    <row r="62" spans="1:14">
      <c r="A62" s="1">
        <v>58</v>
      </c>
      <c r="B62" s="4" t="s">
        <v>358</v>
      </c>
      <c r="C62" s="4" t="s">
        <v>360</v>
      </c>
      <c r="D62" s="5">
        <v>46130.944444444445</v>
      </c>
      <c r="E62" s="4" t="s">
        <v>341</v>
      </c>
      <c r="F62" s="4" t="s">
        <v>342</v>
      </c>
      <c r="G62" s="4" t="s">
        <v>343</v>
      </c>
      <c r="H62" s="4" t="s">
        <v>84</v>
      </c>
      <c r="I62" s="3" t="s">
        <v>100</v>
      </c>
      <c r="J62" s="3" t="s">
        <v>19</v>
      </c>
      <c r="K62" s="3" t="s">
        <v>28</v>
      </c>
      <c r="L62" s="3" t="s">
        <v>11</v>
      </c>
      <c r="M62" s="4" t="s">
        <v>362</v>
      </c>
      <c r="N62" s="4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40017-AD7C-4554-8D79-BA5F60AA8239}">
  <sheetPr>
    <tabColor rgb="FFFFFF00"/>
    <pageSetUpPr fitToPage="1"/>
  </sheetPr>
  <dimension ref="A1:S48"/>
  <sheetViews>
    <sheetView showGridLines="0" view="pageBreakPreview" zoomScale="115" zoomScaleNormal="100" zoomScaleSheetLayoutView="115" workbookViewId="0">
      <selection activeCell="O23" sqref="O23"/>
    </sheetView>
  </sheetViews>
  <sheetFormatPr defaultColWidth="9" defaultRowHeight="17.25"/>
  <cols>
    <col min="1" max="1" width="21.375" style="9" customWidth="1"/>
    <col min="2" max="2" width="11.125" style="9" customWidth="1"/>
    <col min="3" max="3" width="8.625" style="9" customWidth="1"/>
    <col min="4" max="4" width="9" style="9"/>
    <col min="5" max="6" width="8" style="9" customWidth="1"/>
    <col min="7" max="7" width="8.875" style="9" bestFit="1" customWidth="1"/>
    <col min="8" max="8" width="11.25" style="9" customWidth="1"/>
    <col min="9" max="9" width="10.75" style="9" customWidth="1"/>
    <col min="10" max="10" width="10.625" style="10" customWidth="1"/>
    <col min="11" max="11" width="5.25" style="10" customWidth="1"/>
    <col min="12" max="12" width="10.625" style="10" customWidth="1"/>
    <col min="13" max="13" width="5.25" style="10" customWidth="1"/>
    <col min="14" max="14" width="10.625" style="10" customWidth="1"/>
    <col min="15" max="15" width="5.25" style="10" customWidth="1"/>
    <col min="16" max="16" width="15.375" style="10" customWidth="1"/>
    <col min="17" max="17" width="5.25" style="10" customWidth="1"/>
    <col min="18" max="18" width="9" style="10"/>
    <col min="19" max="19" width="5.75" style="10" customWidth="1"/>
    <col min="20" max="256" width="9" style="9"/>
    <col min="257" max="257" width="21.375" style="9" customWidth="1"/>
    <col min="258" max="258" width="11.125" style="9" customWidth="1"/>
    <col min="259" max="259" width="10.75" style="9" customWidth="1"/>
    <col min="260" max="260" width="9" style="9"/>
    <col min="261" max="262" width="8" style="9" customWidth="1"/>
    <col min="263" max="263" width="8.875" style="9" bestFit="1" customWidth="1"/>
    <col min="264" max="265" width="11.25" style="9" customWidth="1"/>
    <col min="266" max="512" width="9" style="9"/>
    <col min="513" max="513" width="21.375" style="9" customWidth="1"/>
    <col min="514" max="514" width="11.125" style="9" customWidth="1"/>
    <col min="515" max="515" width="10.75" style="9" customWidth="1"/>
    <col min="516" max="516" width="9" style="9"/>
    <col min="517" max="518" width="8" style="9" customWidth="1"/>
    <col min="519" max="519" width="8.875" style="9" bestFit="1" customWidth="1"/>
    <col min="520" max="521" width="11.25" style="9" customWidth="1"/>
    <col min="522" max="768" width="9" style="9"/>
    <col min="769" max="769" width="21.375" style="9" customWidth="1"/>
    <col min="770" max="770" width="11.125" style="9" customWidth="1"/>
    <col min="771" max="771" width="10.75" style="9" customWidth="1"/>
    <col min="772" max="772" width="9" style="9"/>
    <col min="773" max="774" width="8" style="9" customWidth="1"/>
    <col min="775" max="775" width="8.875" style="9" bestFit="1" customWidth="1"/>
    <col min="776" max="777" width="11.25" style="9" customWidth="1"/>
    <col min="778" max="1024" width="9" style="9"/>
    <col min="1025" max="1025" width="21.375" style="9" customWidth="1"/>
    <col min="1026" max="1026" width="11.125" style="9" customWidth="1"/>
    <col min="1027" max="1027" width="10.75" style="9" customWidth="1"/>
    <col min="1028" max="1028" width="9" style="9"/>
    <col min="1029" max="1030" width="8" style="9" customWidth="1"/>
    <col min="1031" max="1031" width="8.875" style="9" bestFit="1" customWidth="1"/>
    <col min="1032" max="1033" width="11.25" style="9" customWidth="1"/>
    <col min="1034" max="1280" width="9" style="9"/>
    <col min="1281" max="1281" width="21.375" style="9" customWidth="1"/>
    <col min="1282" max="1282" width="11.125" style="9" customWidth="1"/>
    <col min="1283" max="1283" width="10.75" style="9" customWidth="1"/>
    <col min="1284" max="1284" width="9" style="9"/>
    <col min="1285" max="1286" width="8" style="9" customWidth="1"/>
    <col min="1287" max="1287" width="8.875" style="9" bestFit="1" customWidth="1"/>
    <col min="1288" max="1289" width="11.25" style="9" customWidth="1"/>
    <col min="1290" max="1536" width="9" style="9"/>
    <col min="1537" max="1537" width="21.375" style="9" customWidth="1"/>
    <col min="1538" max="1538" width="11.125" style="9" customWidth="1"/>
    <col min="1539" max="1539" width="10.75" style="9" customWidth="1"/>
    <col min="1540" max="1540" width="9" style="9"/>
    <col min="1541" max="1542" width="8" style="9" customWidth="1"/>
    <col min="1543" max="1543" width="8.875" style="9" bestFit="1" customWidth="1"/>
    <col min="1544" max="1545" width="11.25" style="9" customWidth="1"/>
    <col min="1546" max="1792" width="9" style="9"/>
    <col min="1793" max="1793" width="21.375" style="9" customWidth="1"/>
    <col min="1794" max="1794" width="11.125" style="9" customWidth="1"/>
    <col min="1795" max="1795" width="10.75" style="9" customWidth="1"/>
    <col min="1796" max="1796" width="9" style="9"/>
    <col min="1797" max="1798" width="8" style="9" customWidth="1"/>
    <col min="1799" max="1799" width="8.875" style="9" bestFit="1" customWidth="1"/>
    <col min="1800" max="1801" width="11.25" style="9" customWidth="1"/>
    <col min="1802" max="2048" width="9" style="9"/>
    <col min="2049" max="2049" width="21.375" style="9" customWidth="1"/>
    <col min="2050" max="2050" width="11.125" style="9" customWidth="1"/>
    <col min="2051" max="2051" width="10.75" style="9" customWidth="1"/>
    <col min="2052" max="2052" width="9" style="9"/>
    <col min="2053" max="2054" width="8" style="9" customWidth="1"/>
    <col min="2055" max="2055" width="8.875" style="9" bestFit="1" customWidth="1"/>
    <col min="2056" max="2057" width="11.25" style="9" customWidth="1"/>
    <col min="2058" max="2304" width="9" style="9"/>
    <col min="2305" max="2305" width="21.375" style="9" customWidth="1"/>
    <col min="2306" max="2306" width="11.125" style="9" customWidth="1"/>
    <col min="2307" max="2307" width="10.75" style="9" customWidth="1"/>
    <col min="2308" max="2308" width="9" style="9"/>
    <col min="2309" max="2310" width="8" style="9" customWidth="1"/>
    <col min="2311" max="2311" width="8.875" style="9" bestFit="1" customWidth="1"/>
    <col min="2312" max="2313" width="11.25" style="9" customWidth="1"/>
    <col min="2314" max="2560" width="9" style="9"/>
    <col min="2561" max="2561" width="21.375" style="9" customWidth="1"/>
    <col min="2562" max="2562" width="11.125" style="9" customWidth="1"/>
    <col min="2563" max="2563" width="10.75" style="9" customWidth="1"/>
    <col min="2564" max="2564" width="9" style="9"/>
    <col min="2565" max="2566" width="8" style="9" customWidth="1"/>
    <col min="2567" max="2567" width="8.875" style="9" bestFit="1" customWidth="1"/>
    <col min="2568" max="2569" width="11.25" style="9" customWidth="1"/>
    <col min="2570" max="2816" width="9" style="9"/>
    <col min="2817" max="2817" width="21.375" style="9" customWidth="1"/>
    <col min="2818" max="2818" width="11.125" style="9" customWidth="1"/>
    <col min="2819" max="2819" width="10.75" style="9" customWidth="1"/>
    <col min="2820" max="2820" width="9" style="9"/>
    <col min="2821" max="2822" width="8" style="9" customWidth="1"/>
    <col min="2823" max="2823" width="8.875" style="9" bestFit="1" customWidth="1"/>
    <col min="2824" max="2825" width="11.25" style="9" customWidth="1"/>
    <col min="2826" max="3072" width="9" style="9"/>
    <col min="3073" max="3073" width="21.375" style="9" customWidth="1"/>
    <col min="3074" max="3074" width="11.125" style="9" customWidth="1"/>
    <col min="3075" max="3075" width="10.75" style="9" customWidth="1"/>
    <col min="3076" max="3076" width="9" style="9"/>
    <col min="3077" max="3078" width="8" style="9" customWidth="1"/>
    <col min="3079" max="3079" width="8.875" style="9" bestFit="1" customWidth="1"/>
    <col min="3080" max="3081" width="11.25" style="9" customWidth="1"/>
    <col min="3082" max="3328" width="9" style="9"/>
    <col min="3329" max="3329" width="21.375" style="9" customWidth="1"/>
    <col min="3330" max="3330" width="11.125" style="9" customWidth="1"/>
    <col min="3331" max="3331" width="10.75" style="9" customWidth="1"/>
    <col min="3332" max="3332" width="9" style="9"/>
    <col min="3333" max="3334" width="8" style="9" customWidth="1"/>
    <col min="3335" max="3335" width="8.875" style="9" bestFit="1" customWidth="1"/>
    <col min="3336" max="3337" width="11.25" style="9" customWidth="1"/>
    <col min="3338" max="3584" width="9" style="9"/>
    <col min="3585" max="3585" width="21.375" style="9" customWidth="1"/>
    <col min="3586" max="3586" width="11.125" style="9" customWidth="1"/>
    <col min="3587" max="3587" width="10.75" style="9" customWidth="1"/>
    <col min="3588" max="3588" width="9" style="9"/>
    <col min="3589" max="3590" width="8" style="9" customWidth="1"/>
    <col min="3591" max="3591" width="8.875" style="9" bestFit="1" customWidth="1"/>
    <col min="3592" max="3593" width="11.25" style="9" customWidth="1"/>
    <col min="3594" max="3840" width="9" style="9"/>
    <col min="3841" max="3841" width="21.375" style="9" customWidth="1"/>
    <col min="3842" max="3842" width="11.125" style="9" customWidth="1"/>
    <col min="3843" max="3843" width="10.75" style="9" customWidth="1"/>
    <col min="3844" max="3844" width="9" style="9"/>
    <col min="3845" max="3846" width="8" style="9" customWidth="1"/>
    <col min="3847" max="3847" width="8.875" style="9" bestFit="1" customWidth="1"/>
    <col min="3848" max="3849" width="11.25" style="9" customWidth="1"/>
    <col min="3850" max="4096" width="9" style="9"/>
    <col min="4097" max="4097" width="21.375" style="9" customWidth="1"/>
    <col min="4098" max="4098" width="11.125" style="9" customWidth="1"/>
    <col min="4099" max="4099" width="10.75" style="9" customWidth="1"/>
    <col min="4100" max="4100" width="9" style="9"/>
    <col min="4101" max="4102" width="8" style="9" customWidth="1"/>
    <col min="4103" max="4103" width="8.875" style="9" bestFit="1" customWidth="1"/>
    <col min="4104" max="4105" width="11.25" style="9" customWidth="1"/>
    <col min="4106" max="4352" width="9" style="9"/>
    <col min="4353" max="4353" width="21.375" style="9" customWidth="1"/>
    <col min="4354" max="4354" width="11.125" style="9" customWidth="1"/>
    <col min="4355" max="4355" width="10.75" style="9" customWidth="1"/>
    <col min="4356" max="4356" width="9" style="9"/>
    <col min="4357" max="4358" width="8" style="9" customWidth="1"/>
    <col min="4359" max="4359" width="8.875" style="9" bestFit="1" customWidth="1"/>
    <col min="4360" max="4361" width="11.25" style="9" customWidth="1"/>
    <col min="4362" max="4608" width="9" style="9"/>
    <col min="4609" max="4609" width="21.375" style="9" customWidth="1"/>
    <col min="4610" max="4610" width="11.125" style="9" customWidth="1"/>
    <col min="4611" max="4611" width="10.75" style="9" customWidth="1"/>
    <col min="4612" max="4612" width="9" style="9"/>
    <col min="4613" max="4614" width="8" style="9" customWidth="1"/>
    <col min="4615" max="4615" width="8.875" style="9" bestFit="1" customWidth="1"/>
    <col min="4616" max="4617" width="11.25" style="9" customWidth="1"/>
    <col min="4618" max="4864" width="9" style="9"/>
    <col min="4865" max="4865" width="21.375" style="9" customWidth="1"/>
    <col min="4866" max="4866" width="11.125" style="9" customWidth="1"/>
    <col min="4867" max="4867" width="10.75" style="9" customWidth="1"/>
    <col min="4868" max="4868" width="9" style="9"/>
    <col min="4869" max="4870" width="8" style="9" customWidth="1"/>
    <col min="4871" max="4871" width="8.875" style="9" bestFit="1" customWidth="1"/>
    <col min="4872" max="4873" width="11.25" style="9" customWidth="1"/>
    <col min="4874" max="5120" width="9" style="9"/>
    <col min="5121" max="5121" width="21.375" style="9" customWidth="1"/>
    <col min="5122" max="5122" width="11.125" style="9" customWidth="1"/>
    <col min="5123" max="5123" width="10.75" style="9" customWidth="1"/>
    <col min="5124" max="5124" width="9" style="9"/>
    <col min="5125" max="5126" width="8" style="9" customWidth="1"/>
    <col min="5127" max="5127" width="8.875" style="9" bestFit="1" customWidth="1"/>
    <col min="5128" max="5129" width="11.25" style="9" customWidth="1"/>
    <col min="5130" max="5376" width="9" style="9"/>
    <col min="5377" max="5377" width="21.375" style="9" customWidth="1"/>
    <col min="5378" max="5378" width="11.125" style="9" customWidth="1"/>
    <col min="5379" max="5379" width="10.75" style="9" customWidth="1"/>
    <col min="5380" max="5380" width="9" style="9"/>
    <col min="5381" max="5382" width="8" style="9" customWidth="1"/>
    <col min="5383" max="5383" width="8.875" style="9" bestFit="1" customWidth="1"/>
    <col min="5384" max="5385" width="11.25" style="9" customWidth="1"/>
    <col min="5386" max="5632" width="9" style="9"/>
    <col min="5633" max="5633" width="21.375" style="9" customWidth="1"/>
    <col min="5634" max="5634" width="11.125" style="9" customWidth="1"/>
    <col min="5635" max="5635" width="10.75" style="9" customWidth="1"/>
    <col min="5636" max="5636" width="9" style="9"/>
    <col min="5637" max="5638" width="8" style="9" customWidth="1"/>
    <col min="5639" max="5639" width="8.875" style="9" bestFit="1" customWidth="1"/>
    <col min="5640" max="5641" width="11.25" style="9" customWidth="1"/>
    <col min="5642" max="5888" width="9" style="9"/>
    <col min="5889" max="5889" width="21.375" style="9" customWidth="1"/>
    <col min="5890" max="5890" width="11.125" style="9" customWidth="1"/>
    <col min="5891" max="5891" width="10.75" style="9" customWidth="1"/>
    <col min="5892" max="5892" width="9" style="9"/>
    <col min="5893" max="5894" width="8" style="9" customWidth="1"/>
    <col min="5895" max="5895" width="8.875" style="9" bestFit="1" customWidth="1"/>
    <col min="5896" max="5897" width="11.25" style="9" customWidth="1"/>
    <col min="5898" max="6144" width="9" style="9"/>
    <col min="6145" max="6145" width="21.375" style="9" customWidth="1"/>
    <col min="6146" max="6146" width="11.125" style="9" customWidth="1"/>
    <col min="6147" max="6147" width="10.75" style="9" customWidth="1"/>
    <col min="6148" max="6148" width="9" style="9"/>
    <col min="6149" max="6150" width="8" style="9" customWidth="1"/>
    <col min="6151" max="6151" width="8.875" style="9" bestFit="1" customWidth="1"/>
    <col min="6152" max="6153" width="11.25" style="9" customWidth="1"/>
    <col min="6154" max="6400" width="9" style="9"/>
    <col min="6401" max="6401" width="21.375" style="9" customWidth="1"/>
    <col min="6402" max="6402" width="11.125" style="9" customWidth="1"/>
    <col min="6403" max="6403" width="10.75" style="9" customWidth="1"/>
    <col min="6404" max="6404" width="9" style="9"/>
    <col min="6405" max="6406" width="8" style="9" customWidth="1"/>
    <col min="6407" max="6407" width="8.875" style="9" bestFit="1" customWidth="1"/>
    <col min="6408" max="6409" width="11.25" style="9" customWidth="1"/>
    <col min="6410" max="6656" width="9" style="9"/>
    <col min="6657" max="6657" width="21.375" style="9" customWidth="1"/>
    <col min="6658" max="6658" width="11.125" style="9" customWidth="1"/>
    <col min="6659" max="6659" width="10.75" style="9" customWidth="1"/>
    <col min="6660" max="6660" width="9" style="9"/>
    <col min="6661" max="6662" width="8" style="9" customWidth="1"/>
    <col min="6663" max="6663" width="8.875" style="9" bestFit="1" customWidth="1"/>
    <col min="6664" max="6665" width="11.25" style="9" customWidth="1"/>
    <col min="6666" max="6912" width="9" style="9"/>
    <col min="6913" max="6913" width="21.375" style="9" customWidth="1"/>
    <col min="6914" max="6914" width="11.125" style="9" customWidth="1"/>
    <col min="6915" max="6915" width="10.75" style="9" customWidth="1"/>
    <col min="6916" max="6916" width="9" style="9"/>
    <col min="6917" max="6918" width="8" style="9" customWidth="1"/>
    <col min="6919" max="6919" width="8.875" style="9" bestFit="1" customWidth="1"/>
    <col min="6920" max="6921" width="11.25" style="9" customWidth="1"/>
    <col min="6922" max="7168" width="9" style="9"/>
    <col min="7169" max="7169" width="21.375" style="9" customWidth="1"/>
    <col min="7170" max="7170" width="11.125" style="9" customWidth="1"/>
    <col min="7171" max="7171" width="10.75" style="9" customWidth="1"/>
    <col min="7172" max="7172" width="9" style="9"/>
    <col min="7173" max="7174" width="8" style="9" customWidth="1"/>
    <col min="7175" max="7175" width="8.875" style="9" bestFit="1" customWidth="1"/>
    <col min="7176" max="7177" width="11.25" style="9" customWidth="1"/>
    <col min="7178" max="7424" width="9" style="9"/>
    <col min="7425" max="7425" width="21.375" style="9" customWidth="1"/>
    <col min="7426" max="7426" width="11.125" style="9" customWidth="1"/>
    <col min="7427" max="7427" width="10.75" style="9" customWidth="1"/>
    <col min="7428" max="7428" width="9" style="9"/>
    <col min="7429" max="7430" width="8" style="9" customWidth="1"/>
    <col min="7431" max="7431" width="8.875" style="9" bestFit="1" customWidth="1"/>
    <col min="7432" max="7433" width="11.25" style="9" customWidth="1"/>
    <col min="7434" max="7680" width="9" style="9"/>
    <col min="7681" max="7681" width="21.375" style="9" customWidth="1"/>
    <col min="7682" max="7682" width="11.125" style="9" customWidth="1"/>
    <col min="7683" max="7683" width="10.75" style="9" customWidth="1"/>
    <col min="7684" max="7684" width="9" style="9"/>
    <col min="7685" max="7686" width="8" style="9" customWidth="1"/>
    <col min="7687" max="7687" width="8.875" style="9" bestFit="1" customWidth="1"/>
    <col min="7688" max="7689" width="11.25" style="9" customWidth="1"/>
    <col min="7690" max="7936" width="9" style="9"/>
    <col min="7937" max="7937" width="21.375" style="9" customWidth="1"/>
    <col min="7938" max="7938" width="11.125" style="9" customWidth="1"/>
    <col min="7939" max="7939" width="10.75" style="9" customWidth="1"/>
    <col min="7940" max="7940" width="9" style="9"/>
    <col min="7941" max="7942" width="8" style="9" customWidth="1"/>
    <col min="7943" max="7943" width="8.875" style="9" bestFit="1" customWidth="1"/>
    <col min="7944" max="7945" width="11.25" style="9" customWidth="1"/>
    <col min="7946" max="8192" width="9" style="9"/>
    <col min="8193" max="8193" width="21.375" style="9" customWidth="1"/>
    <col min="8194" max="8194" width="11.125" style="9" customWidth="1"/>
    <col min="8195" max="8195" width="10.75" style="9" customWidth="1"/>
    <col min="8196" max="8196" width="9" style="9"/>
    <col min="8197" max="8198" width="8" style="9" customWidth="1"/>
    <col min="8199" max="8199" width="8.875" style="9" bestFit="1" customWidth="1"/>
    <col min="8200" max="8201" width="11.25" style="9" customWidth="1"/>
    <col min="8202" max="8448" width="9" style="9"/>
    <col min="8449" max="8449" width="21.375" style="9" customWidth="1"/>
    <col min="8450" max="8450" width="11.125" style="9" customWidth="1"/>
    <col min="8451" max="8451" width="10.75" style="9" customWidth="1"/>
    <col min="8452" max="8452" width="9" style="9"/>
    <col min="8453" max="8454" width="8" style="9" customWidth="1"/>
    <col min="8455" max="8455" width="8.875" style="9" bestFit="1" customWidth="1"/>
    <col min="8456" max="8457" width="11.25" style="9" customWidth="1"/>
    <col min="8458" max="8704" width="9" style="9"/>
    <col min="8705" max="8705" width="21.375" style="9" customWidth="1"/>
    <col min="8706" max="8706" width="11.125" style="9" customWidth="1"/>
    <col min="8707" max="8707" width="10.75" style="9" customWidth="1"/>
    <col min="8708" max="8708" width="9" style="9"/>
    <col min="8709" max="8710" width="8" style="9" customWidth="1"/>
    <col min="8711" max="8711" width="8.875" style="9" bestFit="1" customWidth="1"/>
    <col min="8712" max="8713" width="11.25" style="9" customWidth="1"/>
    <col min="8714" max="8960" width="9" style="9"/>
    <col min="8961" max="8961" width="21.375" style="9" customWidth="1"/>
    <col min="8962" max="8962" width="11.125" style="9" customWidth="1"/>
    <col min="8963" max="8963" width="10.75" style="9" customWidth="1"/>
    <col min="8964" max="8964" width="9" style="9"/>
    <col min="8965" max="8966" width="8" style="9" customWidth="1"/>
    <col min="8967" max="8967" width="8.875" style="9" bestFit="1" customWidth="1"/>
    <col min="8968" max="8969" width="11.25" style="9" customWidth="1"/>
    <col min="8970" max="9216" width="9" style="9"/>
    <col min="9217" max="9217" width="21.375" style="9" customWidth="1"/>
    <col min="9218" max="9218" width="11.125" style="9" customWidth="1"/>
    <col min="9219" max="9219" width="10.75" style="9" customWidth="1"/>
    <col min="9220" max="9220" width="9" style="9"/>
    <col min="9221" max="9222" width="8" style="9" customWidth="1"/>
    <col min="9223" max="9223" width="8.875" style="9" bestFit="1" customWidth="1"/>
    <col min="9224" max="9225" width="11.25" style="9" customWidth="1"/>
    <col min="9226" max="9472" width="9" style="9"/>
    <col min="9473" max="9473" width="21.375" style="9" customWidth="1"/>
    <col min="9474" max="9474" width="11.125" style="9" customWidth="1"/>
    <col min="9475" max="9475" width="10.75" style="9" customWidth="1"/>
    <col min="9476" max="9476" width="9" style="9"/>
    <col min="9477" max="9478" width="8" style="9" customWidth="1"/>
    <col min="9479" max="9479" width="8.875" style="9" bestFit="1" customWidth="1"/>
    <col min="9480" max="9481" width="11.25" style="9" customWidth="1"/>
    <col min="9482" max="9728" width="9" style="9"/>
    <col min="9729" max="9729" width="21.375" style="9" customWidth="1"/>
    <col min="9730" max="9730" width="11.125" style="9" customWidth="1"/>
    <col min="9731" max="9731" width="10.75" style="9" customWidth="1"/>
    <col min="9732" max="9732" width="9" style="9"/>
    <col min="9733" max="9734" width="8" style="9" customWidth="1"/>
    <col min="9735" max="9735" width="8.875" style="9" bestFit="1" customWidth="1"/>
    <col min="9736" max="9737" width="11.25" style="9" customWidth="1"/>
    <col min="9738" max="9984" width="9" style="9"/>
    <col min="9985" max="9985" width="21.375" style="9" customWidth="1"/>
    <col min="9986" max="9986" width="11.125" style="9" customWidth="1"/>
    <col min="9987" max="9987" width="10.75" style="9" customWidth="1"/>
    <col min="9988" max="9988" width="9" style="9"/>
    <col min="9989" max="9990" width="8" style="9" customWidth="1"/>
    <col min="9991" max="9991" width="8.875" style="9" bestFit="1" customWidth="1"/>
    <col min="9992" max="9993" width="11.25" style="9" customWidth="1"/>
    <col min="9994" max="10240" width="9" style="9"/>
    <col min="10241" max="10241" width="21.375" style="9" customWidth="1"/>
    <col min="10242" max="10242" width="11.125" style="9" customWidth="1"/>
    <col min="10243" max="10243" width="10.75" style="9" customWidth="1"/>
    <col min="10244" max="10244" width="9" style="9"/>
    <col min="10245" max="10246" width="8" style="9" customWidth="1"/>
    <col min="10247" max="10247" width="8.875" style="9" bestFit="1" customWidth="1"/>
    <col min="10248" max="10249" width="11.25" style="9" customWidth="1"/>
    <col min="10250" max="10496" width="9" style="9"/>
    <col min="10497" max="10497" width="21.375" style="9" customWidth="1"/>
    <col min="10498" max="10498" width="11.125" style="9" customWidth="1"/>
    <col min="10499" max="10499" width="10.75" style="9" customWidth="1"/>
    <col min="10500" max="10500" width="9" style="9"/>
    <col min="10501" max="10502" width="8" style="9" customWidth="1"/>
    <col min="10503" max="10503" width="8.875" style="9" bestFit="1" customWidth="1"/>
    <col min="10504" max="10505" width="11.25" style="9" customWidth="1"/>
    <col min="10506" max="10752" width="9" style="9"/>
    <col min="10753" max="10753" width="21.375" style="9" customWidth="1"/>
    <col min="10754" max="10754" width="11.125" style="9" customWidth="1"/>
    <col min="10755" max="10755" width="10.75" style="9" customWidth="1"/>
    <col min="10756" max="10756" width="9" style="9"/>
    <col min="10757" max="10758" width="8" style="9" customWidth="1"/>
    <col min="10759" max="10759" width="8.875" style="9" bestFit="1" customWidth="1"/>
    <col min="10760" max="10761" width="11.25" style="9" customWidth="1"/>
    <col min="10762" max="11008" width="9" style="9"/>
    <col min="11009" max="11009" width="21.375" style="9" customWidth="1"/>
    <col min="11010" max="11010" width="11.125" style="9" customWidth="1"/>
    <col min="11011" max="11011" width="10.75" style="9" customWidth="1"/>
    <col min="11012" max="11012" width="9" style="9"/>
    <col min="11013" max="11014" width="8" style="9" customWidth="1"/>
    <col min="11015" max="11015" width="8.875" style="9" bestFit="1" customWidth="1"/>
    <col min="11016" max="11017" width="11.25" style="9" customWidth="1"/>
    <col min="11018" max="11264" width="9" style="9"/>
    <col min="11265" max="11265" width="21.375" style="9" customWidth="1"/>
    <col min="11266" max="11266" width="11.125" style="9" customWidth="1"/>
    <col min="11267" max="11267" width="10.75" style="9" customWidth="1"/>
    <col min="11268" max="11268" width="9" style="9"/>
    <col min="11269" max="11270" width="8" style="9" customWidth="1"/>
    <col min="11271" max="11271" width="8.875" style="9" bestFit="1" customWidth="1"/>
    <col min="11272" max="11273" width="11.25" style="9" customWidth="1"/>
    <col min="11274" max="11520" width="9" style="9"/>
    <col min="11521" max="11521" width="21.375" style="9" customWidth="1"/>
    <col min="11522" max="11522" width="11.125" style="9" customWidth="1"/>
    <col min="11523" max="11523" width="10.75" style="9" customWidth="1"/>
    <col min="11524" max="11524" width="9" style="9"/>
    <col min="11525" max="11526" width="8" style="9" customWidth="1"/>
    <col min="11527" max="11527" width="8.875" style="9" bestFit="1" customWidth="1"/>
    <col min="11528" max="11529" width="11.25" style="9" customWidth="1"/>
    <col min="11530" max="11776" width="9" style="9"/>
    <col min="11777" max="11777" width="21.375" style="9" customWidth="1"/>
    <col min="11778" max="11778" width="11.125" style="9" customWidth="1"/>
    <col min="11779" max="11779" width="10.75" style="9" customWidth="1"/>
    <col min="11780" max="11780" width="9" style="9"/>
    <col min="11781" max="11782" width="8" style="9" customWidth="1"/>
    <col min="11783" max="11783" width="8.875" style="9" bestFit="1" customWidth="1"/>
    <col min="11784" max="11785" width="11.25" style="9" customWidth="1"/>
    <col min="11786" max="12032" width="9" style="9"/>
    <col min="12033" max="12033" width="21.375" style="9" customWidth="1"/>
    <col min="12034" max="12034" width="11.125" style="9" customWidth="1"/>
    <col min="12035" max="12035" width="10.75" style="9" customWidth="1"/>
    <col min="12036" max="12036" width="9" style="9"/>
    <col min="12037" max="12038" width="8" style="9" customWidth="1"/>
    <col min="12039" max="12039" width="8.875" style="9" bestFit="1" customWidth="1"/>
    <col min="12040" max="12041" width="11.25" style="9" customWidth="1"/>
    <col min="12042" max="12288" width="9" style="9"/>
    <col min="12289" max="12289" width="21.375" style="9" customWidth="1"/>
    <col min="12290" max="12290" width="11.125" style="9" customWidth="1"/>
    <col min="12291" max="12291" width="10.75" style="9" customWidth="1"/>
    <col min="12292" max="12292" width="9" style="9"/>
    <col min="12293" max="12294" width="8" style="9" customWidth="1"/>
    <col min="12295" max="12295" width="8.875" style="9" bestFit="1" customWidth="1"/>
    <col min="12296" max="12297" width="11.25" style="9" customWidth="1"/>
    <col min="12298" max="12544" width="9" style="9"/>
    <col min="12545" max="12545" width="21.375" style="9" customWidth="1"/>
    <col min="12546" max="12546" width="11.125" style="9" customWidth="1"/>
    <col min="12547" max="12547" width="10.75" style="9" customWidth="1"/>
    <col min="12548" max="12548" width="9" style="9"/>
    <col min="12549" max="12550" width="8" style="9" customWidth="1"/>
    <col min="12551" max="12551" width="8.875" style="9" bestFit="1" customWidth="1"/>
    <col min="12552" max="12553" width="11.25" style="9" customWidth="1"/>
    <col min="12554" max="12800" width="9" style="9"/>
    <col min="12801" max="12801" width="21.375" style="9" customWidth="1"/>
    <col min="12802" max="12802" width="11.125" style="9" customWidth="1"/>
    <col min="12803" max="12803" width="10.75" style="9" customWidth="1"/>
    <col min="12804" max="12804" width="9" style="9"/>
    <col min="12805" max="12806" width="8" style="9" customWidth="1"/>
    <col min="12807" max="12807" width="8.875" style="9" bestFit="1" customWidth="1"/>
    <col min="12808" max="12809" width="11.25" style="9" customWidth="1"/>
    <col min="12810" max="13056" width="9" style="9"/>
    <col min="13057" max="13057" width="21.375" style="9" customWidth="1"/>
    <col min="13058" max="13058" width="11.125" style="9" customWidth="1"/>
    <col min="13059" max="13059" width="10.75" style="9" customWidth="1"/>
    <col min="13060" max="13060" width="9" style="9"/>
    <col min="13061" max="13062" width="8" style="9" customWidth="1"/>
    <col min="13063" max="13063" width="8.875" style="9" bestFit="1" customWidth="1"/>
    <col min="13064" max="13065" width="11.25" style="9" customWidth="1"/>
    <col min="13066" max="13312" width="9" style="9"/>
    <col min="13313" max="13313" width="21.375" style="9" customWidth="1"/>
    <col min="13314" max="13314" width="11.125" style="9" customWidth="1"/>
    <col min="13315" max="13315" width="10.75" style="9" customWidth="1"/>
    <col min="13316" max="13316" width="9" style="9"/>
    <col min="13317" max="13318" width="8" style="9" customWidth="1"/>
    <col min="13319" max="13319" width="8.875" style="9" bestFit="1" customWidth="1"/>
    <col min="13320" max="13321" width="11.25" style="9" customWidth="1"/>
    <col min="13322" max="13568" width="9" style="9"/>
    <col min="13569" max="13569" width="21.375" style="9" customWidth="1"/>
    <col min="13570" max="13570" width="11.125" style="9" customWidth="1"/>
    <col min="13571" max="13571" width="10.75" style="9" customWidth="1"/>
    <col min="13572" max="13572" width="9" style="9"/>
    <col min="13573" max="13574" width="8" style="9" customWidth="1"/>
    <col min="13575" max="13575" width="8.875" style="9" bestFit="1" customWidth="1"/>
    <col min="13576" max="13577" width="11.25" style="9" customWidth="1"/>
    <col min="13578" max="13824" width="9" style="9"/>
    <col min="13825" max="13825" width="21.375" style="9" customWidth="1"/>
    <col min="13826" max="13826" width="11.125" style="9" customWidth="1"/>
    <col min="13827" max="13827" width="10.75" style="9" customWidth="1"/>
    <col min="13828" max="13828" width="9" style="9"/>
    <col min="13829" max="13830" width="8" style="9" customWidth="1"/>
    <col min="13831" max="13831" width="8.875" style="9" bestFit="1" customWidth="1"/>
    <col min="13832" max="13833" width="11.25" style="9" customWidth="1"/>
    <col min="13834" max="14080" width="9" style="9"/>
    <col min="14081" max="14081" width="21.375" style="9" customWidth="1"/>
    <col min="14082" max="14082" width="11.125" style="9" customWidth="1"/>
    <col min="14083" max="14083" width="10.75" style="9" customWidth="1"/>
    <col min="14084" max="14084" width="9" style="9"/>
    <col min="14085" max="14086" width="8" style="9" customWidth="1"/>
    <col min="14087" max="14087" width="8.875" style="9" bestFit="1" customWidth="1"/>
    <col min="14088" max="14089" width="11.25" style="9" customWidth="1"/>
    <col min="14090" max="14336" width="9" style="9"/>
    <col min="14337" max="14337" width="21.375" style="9" customWidth="1"/>
    <col min="14338" max="14338" width="11.125" style="9" customWidth="1"/>
    <col min="14339" max="14339" width="10.75" style="9" customWidth="1"/>
    <col min="14340" max="14340" width="9" style="9"/>
    <col min="14341" max="14342" width="8" style="9" customWidth="1"/>
    <col min="14343" max="14343" width="8.875" style="9" bestFit="1" customWidth="1"/>
    <col min="14344" max="14345" width="11.25" style="9" customWidth="1"/>
    <col min="14346" max="14592" width="9" style="9"/>
    <col min="14593" max="14593" width="21.375" style="9" customWidth="1"/>
    <col min="14594" max="14594" width="11.125" style="9" customWidth="1"/>
    <col min="14595" max="14595" width="10.75" style="9" customWidth="1"/>
    <col min="14596" max="14596" width="9" style="9"/>
    <col min="14597" max="14598" width="8" style="9" customWidth="1"/>
    <col min="14599" max="14599" width="8.875" style="9" bestFit="1" customWidth="1"/>
    <col min="14600" max="14601" width="11.25" style="9" customWidth="1"/>
    <col min="14602" max="14848" width="9" style="9"/>
    <col min="14849" max="14849" width="21.375" style="9" customWidth="1"/>
    <col min="14850" max="14850" width="11.125" style="9" customWidth="1"/>
    <col min="14851" max="14851" width="10.75" style="9" customWidth="1"/>
    <col min="14852" max="14852" width="9" style="9"/>
    <col min="14853" max="14854" width="8" style="9" customWidth="1"/>
    <col min="14855" max="14855" width="8.875" style="9" bestFit="1" customWidth="1"/>
    <col min="14856" max="14857" width="11.25" style="9" customWidth="1"/>
    <col min="14858" max="15104" width="9" style="9"/>
    <col min="15105" max="15105" width="21.375" style="9" customWidth="1"/>
    <col min="15106" max="15106" width="11.125" style="9" customWidth="1"/>
    <col min="15107" max="15107" width="10.75" style="9" customWidth="1"/>
    <col min="15108" max="15108" width="9" style="9"/>
    <col min="15109" max="15110" width="8" style="9" customWidth="1"/>
    <col min="15111" max="15111" width="8.875" style="9" bestFit="1" customWidth="1"/>
    <col min="15112" max="15113" width="11.25" style="9" customWidth="1"/>
    <col min="15114" max="15360" width="9" style="9"/>
    <col min="15361" max="15361" width="21.375" style="9" customWidth="1"/>
    <col min="15362" max="15362" width="11.125" style="9" customWidth="1"/>
    <col min="15363" max="15363" width="10.75" style="9" customWidth="1"/>
    <col min="15364" max="15364" width="9" style="9"/>
    <col min="15365" max="15366" width="8" style="9" customWidth="1"/>
    <col min="15367" max="15367" width="8.875" style="9" bestFit="1" customWidth="1"/>
    <col min="15368" max="15369" width="11.25" style="9" customWidth="1"/>
    <col min="15370" max="15616" width="9" style="9"/>
    <col min="15617" max="15617" width="21.375" style="9" customWidth="1"/>
    <col min="15618" max="15618" width="11.125" style="9" customWidth="1"/>
    <col min="15619" max="15619" width="10.75" style="9" customWidth="1"/>
    <col min="15620" max="15620" width="9" style="9"/>
    <col min="15621" max="15622" width="8" style="9" customWidth="1"/>
    <col min="15623" max="15623" width="8.875" style="9" bestFit="1" customWidth="1"/>
    <col min="15624" max="15625" width="11.25" style="9" customWidth="1"/>
    <col min="15626" max="15872" width="9" style="9"/>
    <col min="15873" max="15873" width="21.375" style="9" customWidth="1"/>
    <col min="15874" max="15874" width="11.125" style="9" customWidth="1"/>
    <col min="15875" max="15875" width="10.75" style="9" customWidth="1"/>
    <col min="15876" max="15876" width="9" style="9"/>
    <col min="15877" max="15878" width="8" style="9" customWidth="1"/>
    <col min="15879" max="15879" width="8.875" style="9" bestFit="1" customWidth="1"/>
    <col min="15880" max="15881" width="11.25" style="9" customWidth="1"/>
    <col min="15882" max="16128" width="9" style="9"/>
    <col min="16129" max="16129" width="21.375" style="9" customWidth="1"/>
    <col min="16130" max="16130" width="11.125" style="9" customWidth="1"/>
    <col min="16131" max="16131" width="10.75" style="9" customWidth="1"/>
    <col min="16132" max="16132" width="9" style="9"/>
    <col min="16133" max="16134" width="8" style="9" customWidth="1"/>
    <col min="16135" max="16135" width="8.875" style="9" bestFit="1" customWidth="1"/>
    <col min="16136" max="16137" width="11.25" style="9" customWidth="1"/>
    <col min="16138" max="16384" width="9" style="9"/>
  </cols>
  <sheetData>
    <row r="1" spans="1:19" s="6" customFormat="1" ht="4.5" customHeight="1">
      <c r="B1" s="7" t="s">
        <v>364</v>
      </c>
      <c r="C1" s="7"/>
      <c r="D1" s="7"/>
      <c r="E1" s="7"/>
      <c r="F1" s="7"/>
      <c r="G1" s="7"/>
      <c r="H1" s="7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ht="27.75" customHeight="1">
      <c r="B2" s="7"/>
      <c r="C2" s="7"/>
      <c r="D2" s="7"/>
      <c r="E2" s="7"/>
      <c r="F2" s="7"/>
      <c r="G2" s="7"/>
      <c r="H2" s="7"/>
    </row>
    <row r="3" spans="1:19" ht="19.5" customHeight="1">
      <c r="A3" s="11" t="s">
        <v>365</v>
      </c>
      <c r="C3" s="12"/>
      <c r="D3" s="13"/>
      <c r="E3" s="14"/>
      <c r="F3" s="14"/>
      <c r="G3" s="14"/>
    </row>
    <row r="4" spans="1:19" ht="19.5" customHeight="1">
      <c r="A4" s="11" t="s">
        <v>366</v>
      </c>
      <c r="C4" s="12"/>
      <c r="D4" s="13"/>
      <c r="E4" s="14"/>
      <c r="F4" s="14"/>
      <c r="G4" s="15"/>
      <c r="H4" s="15"/>
      <c r="I4" s="15"/>
    </row>
    <row r="5" spans="1:19" ht="12" customHeight="1" thickBot="1">
      <c r="G5" s="16"/>
      <c r="H5" s="17" t="str">
        <f>"작성일 : "&amp;TEXT(_xlfn.XLOOKUP(B7,near_miss_excel_view!C:C,near_miss_excel_view!D:D,"없음",0,1),"YY-MM-DD")</f>
        <v>작성일 : 26-04-01</v>
      </c>
      <c r="I5" s="17"/>
    </row>
    <row r="6" spans="1:19" s="26" customFormat="1" ht="18.75" customHeight="1">
      <c r="A6" s="18" t="s">
        <v>367</v>
      </c>
      <c r="B6" s="19" t="s">
        <v>368</v>
      </c>
      <c r="C6" s="20"/>
      <c r="D6" s="21" t="s">
        <v>369</v>
      </c>
      <c r="E6" s="22" t="str">
        <f>_xlfn.XLOOKUP(B7,near_miss_excel_view!C:C,near_miss_excel_view!B:B,"없음",0,1)</f>
        <v>박재민</v>
      </c>
      <c r="F6" s="23"/>
      <c r="G6" s="21" t="s">
        <v>370</v>
      </c>
      <c r="H6" s="22"/>
      <c r="I6" s="24"/>
      <c r="J6" s="25"/>
      <c r="K6" s="25"/>
      <c r="L6" s="25"/>
      <c r="M6" s="25"/>
      <c r="N6" s="25"/>
      <c r="O6" s="25"/>
      <c r="P6" s="25"/>
      <c r="Q6" s="25"/>
      <c r="R6" s="25"/>
      <c r="S6" s="25"/>
    </row>
    <row r="7" spans="1:19" s="26" customFormat="1" ht="18.75" customHeight="1">
      <c r="A7" s="27" t="s">
        <v>371</v>
      </c>
      <c r="B7" s="124" t="s">
        <v>456</v>
      </c>
      <c r="C7" s="125"/>
      <c r="D7" s="125"/>
      <c r="E7" s="125"/>
      <c r="F7" s="125"/>
      <c r="G7" s="125"/>
      <c r="H7" s="125"/>
      <c r="I7" s="126"/>
      <c r="J7" s="25"/>
      <c r="K7" s="25"/>
      <c r="L7" s="25"/>
      <c r="M7" s="25"/>
      <c r="N7" s="25"/>
      <c r="O7" s="25"/>
      <c r="P7" s="25"/>
      <c r="Q7" s="25"/>
      <c r="R7" s="25"/>
      <c r="S7" s="25"/>
    </row>
    <row r="8" spans="1:19" s="26" customFormat="1" ht="4.5" customHeight="1">
      <c r="A8" s="31"/>
      <c r="B8" s="32"/>
      <c r="I8" s="33"/>
      <c r="J8" s="25"/>
      <c r="K8" s="25"/>
      <c r="L8" s="25"/>
      <c r="M8" s="25"/>
      <c r="N8" s="25"/>
      <c r="O8" s="25"/>
      <c r="P8" s="25"/>
      <c r="Q8" s="25"/>
      <c r="R8" s="25"/>
      <c r="S8" s="25"/>
    </row>
    <row r="9" spans="1:19" s="26" customFormat="1" ht="16.5" customHeight="1">
      <c r="A9" s="34" t="s">
        <v>372</v>
      </c>
      <c r="B9" s="35" t="str">
        <f>" 1. 발생 일시 :    "&amp;TEXT(_xlfn.XLOOKUP(B7,near_miss_excel_view!C:C,near_miss_excel_view!D:D,"없음",0,1),"YYYY년 MM월 DD일 hh시 mm분")&amp;" 경"</f>
        <v xml:space="preserve"> 1. 발생 일시 :    2026년 04월 01일 20시 30분 경</v>
      </c>
      <c r="C9" s="36"/>
      <c r="I9" s="33"/>
      <c r="J9" s="25"/>
      <c r="K9" s="25"/>
      <c r="L9" s="25"/>
      <c r="M9" s="25"/>
      <c r="N9" s="25"/>
      <c r="O9" s="25"/>
      <c r="P9" s="25"/>
      <c r="Q9" s="25"/>
      <c r="R9" s="25"/>
      <c r="S9" s="25"/>
    </row>
    <row r="10" spans="1:19" s="26" customFormat="1" ht="16.5" customHeight="1">
      <c r="A10" s="34" t="s">
        <v>373</v>
      </c>
      <c r="B10" s="37" t="str">
        <f>" 2. 발생 장소 :    "&amp;_xlfn.XLOOKUP(B7,near_miss_excel_view!C:C,near_miss_excel_view!E:E,"없음",0,1)</f>
        <v xml:space="preserve"> 2. 발생 장소 :    4호 프로브 계단실</v>
      </c>
      <c r="I10" s="33"/>
      <c r="J10" s="25"/>
      <c r="K10" s="25"/>
      <c r="L10" s="25"/>
      <c r="M10" s="25"/>
      <c r="N10" s="25"/>
      <c r="O10" s="25"/>
      <c r="P10" s="25"/>
      <c r="Q10" s="25"/>
      <c r="R10" s="25"/>
      <c r="S10" s="25"/>
    </row>
    <row r="11" spans="1:19" s="26" customFormat="1" ht="16.5" customHeight="1">
      <c r="A11" s="38" t="s">
        <v>374</v>
      </c>
      <c r="B11" s="39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계단턱에 걸리거나 미끄러져서 바닥에 몸이 부딪힘
원인: 이동 시 난간을 잡지 않고 빠른 속도로 이동함.</v>
      </c>
      <c r="C11" s="40"/>
      <c r="D11" s="40"/>
      <c r="E11" s="40"/>
      <c r="F11" s="40"/>
      <c r="G11" s="40"/>
      <c r="H11" s="40"/>
      <c r="I11" s="41"/>
      <c r="J11" s="25" t="s">
        <v>455</v>
      </c>
      <c r="K11" s="25"/>
      <c r="L11" s="25"/>
      <c r="M11" s="25"/>
      <c r="N11" s="25"/>
      <c r="O11" s="25"/>
      <c r="P11" s="25"/>
      <c r="Q11" s="25"/>
      <c r="R11" s="25"/>
      <c r="S11" s="25"/>
    </row>
    <row r="12" spans="1:19" s="26" customFormat="1" ht="16.5" customHeight="1">
      <c r="A12" s="42" t="s">
        <v>375</v>
      </c>
      <c r="B12" s="39"/>
      <c r="C12" s="40"/>
      <c r="D12" s="40"/>
      <c r="E12" s="40"/>
      <c r="F12" s="40"/>
      <c r="G12" s="40"/>
      <c r="H12" s="40"/>
      <c r="I12" s="41"/>
      <c r="J12" s="25">
        <v>55</v>
      </c>
      <c r="K12" s="25"/>
      <c r="L12" s="25"/>
      <c r="M12" s="25"/>
      <c r="N12" s="25"/>
      <c r="O12" s="25"/>
      <c r="P12" s="25"/>
      <c r="Q12" s="25"/>
      <c r="R12" s="25"/>
      <c r="S12" s="25"/>
    </row>
    <row r="13" spans="1:19" s="26" customFormat="1" ht="16.5" customHeight="1">
      <c r="A13" s="42"/>
      <c r="B13" s="39"/>
      <c r="C13" s="40"/>
      <c r="D13" s="40"/>
      <c r="E13" s="40"/>
      <c r="F13" s="40"/>
      <c r="G13" s="40"/>
      <c r="H13" s="40"/>
      <c r="I13" s="41"/>
      <c r="J13" s="25"/>
      <c r="K13" s="25"/>
      <c r="L13" s="25"/>
      <c r="M13" s="25"/>
      <c r="N13" s="25"/>
      <c r="O13" s="25"/>
      <c r="P13" s="25"/>
      <c r="Q13" s="25"/>
      <c r="R13" s="25"/>
      <c r="S13" s="25"/>
    </row>
    <row r="14" spans="1:19" s="26" customFormat="1" ht="16.5" customHeight="1">
      <c r="A14" s="42"/>
      <c r="B14" s="39"/>
      <c r="C14" s="40"/>
      <c r="D14" s="40"/>
      <c r="E14" s="40"/>
      <c r="F14" s="40"/>
      <c r="G14" s="40"/>
      <c r="H14" s="40"/>
      <c r="I14" s="41"/>
      <c r="J14" s="25"/>
      <c r="K14" s="25"/>
      <c r="L14" s="25"/>
      <c r="M14" s="25"/>
      <c r="N14" s="25"/>
      <c r="O14" s="25"/>
      <c r="P14" s="25"/>
      <c r="Q14" s="25"/>
      <c r="R14" s="25"/>
      <c r="S14" s="25"/>
    </row>
    <row r="15" spans="1:19" s="26" customFormat="1" ht="16.5" customHeight="1">
      <c r="A15" s="34"/>
      <c r="B15" s="39"/>
      <c r="C15" s="40"/>
      <c r="D15" s="40"/>
      <c r="E15" s="40"/>
      <c r="F15" s="40"/>
      <c r="G15" s="40"/>
      <c r="H15" s="40"/>
      <c r="I15" s="41"/>
      <c r="J15" s="25"/>
      <c r="K15" s="25"/>
      <c r="L15" s="25"/>
      <c r="M15" s="25"/>
      <c r="N15" s="25"/>
      <c r="O15" s="25"/>
      <c r="P15" s="25"/>
      <c r="Q15" s="25"/>
      <c r="R15" s="25"/>
      <c r="S15" s="25"/>
    </row>
    <row r="16" spans="1:19" s="26" customFormat="1" ht="17.45" customHeight="1" thickBot="1">
      <c r="A16" s="34"/>
      <c r="B16" s="39"/>
      <c r="C16" s="40"/>
      <c r="D16" s="40"/>
      <c r="E16" s="40"/>
      <c r="F16" s="40"/>
      <c r="G16" s="40"/>
      <c r="H16" s="40"/>
      <c r="I16" s="41"/>
      <c r="J16" s="25" t="s">
        <v>376</v>
      </c>
      <c r="K16" s="25"/>
      <c r="L16" s="25" t="s">
        <v>377</v>
      </c>
      <c r="M16" s="25"/>
      <c r="N16" s="25" t="s">
        <v>378</v>
      </c>
      <c r="O16" s="25"/>
      <c r="P16" s="25" t="s">
        <v>379</v>
      </c>
      <c r="Q16" s="25"/>
      <c r="R16" s="25" t="s">
        <v>380</v>
      </c>
      <c r="S16" s="25"/>
    </row>
    <row r="17" spans="1:19" s="26" customFormat="1" ht="16.149999999999999" customHeight="1">
      <c r="A17" s="43" t="s">
        <v>381</v>
      </c>
      <c r="B17" s="44"/>
      <c r="C17" s="44"/>
      <c r="D17" s="44"/>
      <c r="E17" s="44"/>
      <c r="F17" s="44"/>
      <c r="G17" s="44"/>
      <c r="H17" s="44"/>
      <c r="I17" s="45"/>
      <c r="J17" s="25" t="str">
        <f>_xlfn.XLOOKUP(B7,near_miss_excel_view!$C:$C,near_miss_excel_view!H:H,"없음",0,1)</f>
        <v>전도</v>
      </c>
      <c r="K17" s="25"/>
      <c r="L17" s="25" t="str">
        <f>_xlfn.XLOOKUP(B7,near_miss_excel_view!$C:$C,near_miss_excel_view!I:I,"없음",0,1)</f>
        <v>안전난간</v>
      </c>
      <c r="M17" s="25"/>
      <c r="N17" s="25" t="str">
        <f>_xlfn.XLOOKUP(B7,near_miss_excel_view!$C:$C,near_miss_excel_view!J:J,"없음",0,1)</f>
        <v>기타</v>
      </c>
      <c r="O17" s="25"/>
      <c r="P17" s="25" t="str">
        <f>_xlfn.XLOOKUP(B7,near_miss_excel_view!$C:$C,near_miss_excel_view!K:K,"없음",0,1)</f>
        <v>몸의 균형이 불안정해짐</v>
      </c>
      <c r="Q17" s="25"/>
      <c r="R17" s="25" t="str">
        <f>_xlfn.XLOOKUP(B7,near_miss_excel_view!$C:$C,near_miss_excel_view!L:L,"없음",0,1)</f>
        <v>피로</v>
      </c>
      <c r="S17" s="25"/>
    </row>
    <row r="18" spans="1:19" s="26" customFormat="1" ht="15.75" customHeight="1">
      <c r="A18" s="46" t="s">
        <v>382</v>
      </c>
      <c r="B18" s="47"/>
      <c r="C18" s="48"/>
      <c r="D18" s="49" t="s">
        <v>383</v>
      </c>
      <c r="E18" s="50"/>
      <c r="F18" s="50"/>
      <c r="G18" s="51"/>
      <c r="H18" s="52"/>
      <c r="I18" s="53"/>
      <c r="J18" s="25"/>
      <c r="K18" s="25"/>
      <c r="L18" s="25"/>
      <c r="M18" s="25"/>
      <c r="N18" s="25"/>
      <c r="O18" s="25"/>
      <c r="P18" s="25"/>
      <c r="Q18" s="25"/>
      <c r="R18" s="25"/>
      <c r="S18" s="25"/>
    </row>
    <row r="19" spans="1:19" s="26" customFormat="1" ht="16.149999999999999" customHeight="1">
      <c r="A19" s="54"/>
      <c r="B19" s="55"/>
      <c r="C19" s="56"/>
      <c r="D19" s="57"/>
      <c r="E19" s="58"/>
      <c r="F19" s="58"/>
      <c r="G19" s="58"/>
      <c r="H19" s="58"/>
      <c r="I19" s="59"/>
      <c r="J19" s="25" t="s">
        <v>384</v>
      </c>
      <c r="K19" s="25" t="b">
        <f t="shared" ref="K19:K36" si="0">IF(J19=$J$17,TRUE,FALSE)</f>
        <v>0</v>
      </c>
      <c r="L19" s="25" t="s">
        <v>168</v>
      </c>
      <c r="M19" s="25" t="b">
        <f>IF($L$17=L19,TRUE,FALSE)</f>
        <v>0</v>
      </c>
      <c r="N19" s="25" t="s">
        <v>385</v>
      </c>
      <c r="O19" s="25" t="b">
        <f t="shared" ref="O19:O25" si="1">IF($N$17=N19,TRUE,FALSE)</f>
        <v>0</v>
      </c>
      <c r="P19" s="25" t="s">
        <v>35</v>
      </c>
      <c r="Q19" s="25" t="b">
        <f>IF($P$17=P19,TRUE,FALSE)</f>
        <v>0</v>
      </c>
      <c r="R19" s="25" t="s">
        <v>36</v>
      </c>
      <c r="S19" s="25" t="b">
        <f>IF($R$17=R19,TRUE,FALSE)</f>
        <v>0</v>
      </c>
    </row>
    <row r="20" spans="1:19" s="26" customFormat="1" ht="16.149999999999999" customHeight="1">
      <c r="A20" s="54"/>
      <c r="B20" s="55"/>
      <c r="C20" s="56"/>
      <c r="D20" s="60"/>
      <c r="E20" s="55"/>
      <c r="F20" s="55"/>
      <c r="G20" s="55"/>
      <c r="H20" s="55"/>
      <c r="I20" s="61"/>
      <c r="J20" s="25" t="s">
        <v>32</v>
      </c>
      <c r="K20" s="25" t="b">
        <f t="shared" si="0"/>
        <v>1</v>
      </c>
      <c r="L20" s="25" t="s">
        <v>386</v>
      </c>
      <c r="M20" s="25" t="b">
        <f>IF($L$17=L20,TRUE,FALSE)</f>
        <v>0</v>
      </c>
      <c r="N20" s="25" t="s">
        <v>387</v>
      </c>
      <c r="O20" s="25" t="b">
        <f t="shared" si="1"/>
        <v>0</v>
      </c>
      <c r="P20" s="25" t="s">
        <v>158</v>
      </c>
      <c r="Q20" s="25" t="b">
        <f>IF($P$17=P20,TRUE,FALSE)</f>
        <v>1</v>
      </c>
      <c r="R20" s="25" t="s">
        <v>388</v>
      </c>
      <c r="S20" s="25" t="b">
        <f>IF($R$17=R20,TRUE,FALSE)</f>
        <v>1</v>
      </c>
    </row>
    <row r="21" spans="1:19" s="26" customFormat="1" ht="16.149999999999999" customHeight="1">
      <c r="A21" s="54"/>
      <c r="B21" s="55"/>
      <c r="C21" s="56"/>
      <c r="D21" s="60"/>
      <c r="E21" s="55"/>
      <c r="F21" s="55"/>
      <c r="G21" s="55"/>
      <c r="H21" s="55"/>
      <c r="I21" s="61"/>
      <c r="J21" s="25" t="s">
        <v>389</v>
      </c>
      <c r="K21" s="25" t="b">
        <f t="shared" si="0"/>
        <v>0</v>
      </c>
      <c r="L21" s="25" t="s">
        <v>390</v>
      </c>
      <c r="M21" s="25" t="b">
        <f>IF($L$17=L21,TRUE,FALSE)</f>
        <v>1</v>
      </c>
      <c r="N21" s="25" t="s">
        <v>391</v>
      </c>
      <c r="O21" s="25" t="b">
        <f t="shared" si="1"/>
        <v>0</v>
      </c>
      <c r="P21" s="25" t="s">
        <v>169</v>
      </c>
      <c r="Q21" s="25" t="b">
        <f>IF($P$17=P21,TRUE,FALSE)</f>
        <v>0</v>
      </c>
      <c r="R21" s="25" t="s">
        <v>392</v>
      </c>
      <c r="S21" s="25" t="b">
        <f>IF($R$17=R21,TRUE,FALSE)</f>
        <v>0</v>
      </c>
    </row>
    <row r="22" spans="1:19" s="26" customFormat="1" ht="16.149999999999999" customHeight="1">
      <c r="A22" s="54"/>
      <c r="B22" s="55"/>
      <c r="C22" s="56"/>
      <c r="D22" s="60"/>
      <c r="E22" s="55"/>
      <c r="F22" s="55"/>
      <c r="G22" s="55"/>
      <c r="H22" s="55"/>
      <c r="I22" s="61"/>
      <c r="J22" s="25" t="s">
        <v>393</v>
      </c>
      <c r="K22" s="25" t="b">
        <f t="shared" si="0"/>
        <v>0</v>
      </c>
      <c r="L22" s="25" t="s">
        <v>394</v>
      </c>
      <c r="M22" s="25" t="b">
        <f t="shared" ref="M22:M36" si="2">IF($L$17=L22,TRUE,FALSE)</f>
        <v>0</v>
      </c>
      <c r="N22" s="25" t="s">
        <v>395</v>
      </c>
      <c r="O22" s="25" t="b">
        <f t="shared" si="1"/>
        <v>0</v>
      </c>
      <c r="P22" s="25" t="s">
        <v>234</v>
      </c>
      <c r="Q22" s="25" t="b">
        <f>IF($P$17=P22,TRUE,FALSE)</f>
        <v>0</v>
      </c>
      <c r="R22" s="25" t="s">
        <v>396</v>
      </c>
      <c r="S22" s="25" t="b">
        <f>IF($R$17=R22,TRUE,FALSE)</f>
        <v>0</v>
      </c>
    </row>
    <row r="23" spans="1:19" s="26" customFormat="1" ht="16.149999999999999" customHeight="1">
      <c r="A23" s="54"/>
      <c r="B23" s="55"/>
      <c r="C23" s="56"/>
      <c r="D23" s="60"/>
      <c r="E23" s="55"/>
      <c r="F23" s="55"/>
      <c r="G23" s="55"/>
      <c r="H23" s="55"/>
      <c r="I23" s="61"/>
      <c r="J23" s="25" t="s">
        <v>397</v>
      </c>
      <c r="K23" s="25" t="b">
        <f t="shared" si="0"/>
        <v>0</v>
      </c>
      <c r="L23" s="25" t="s">
        <v>398</v>
      </c>
      <c r="M23" s="25" t="b">
        <f t="shared" si="2"/>
        <v>0</v>
      </c>
      <c r="N23" s="25" t="s">
        <v>399</v>
      </c>
      <c r="O23" s="25" t="b">
        <f t="shared" si="1"/>
        <v>0</v>
      </c>
      <c r="P23" s="25"/>
      <c r="Q23" s="25"/>
      <c r="R23" s="25"/>
      <c r="S23" s="25"/>
    </row>
    <row r="24" spans="1:19" s="26" customFormat="1" ht="16.149999999999999" customHeight="1">
      <c r="A24" s="54"/>
      <c r="B24" s="55"/>
      <c r="C24" s="56"/>
      <c r="D24" s="60"/>
      <c r="E24" s="55"/>
      <c r="F24" s="55"/>
      <c r="G24" s="55"/>
      <c r="H24" s="55"/>
      <c r="I24" s="61"/>
      <c r="J24" s="25" t="s">
        <v>400</v>
      </c>
      <c r="K24" s="25" t="b">
        <f t="shared" si="0"/>
        <v>0</v>
      </c>
      <c r="L24" s="25" t="s">
        <v>401</v>
      </c>
      <c r="M24" s="25" t="b">
        <f t="shared" si="2"/>
        <v>0</v>
      </c>
      <c r="N24" s="25" t="s">
        <v>233</v>
      </c>
      <c r="O24" s="25" t="b">
        <f t="shared" si="1"/>
        <v>0</v>
      </c>
      <c r="P24" s="25"/>
      <c r="Q24" s="25"/>
      <c r="R24" s="25"/>
      <c r="S24" s="25"/>
    </row>
    <row r="25" spans="1:19" s="26" customFormat="1" ht="16.149999999999999" customHeight="1">
      <c r="A25" s="54"/>
      <c r="B25" s="55"/>
      <c r="C25" s="56"/>
      <c r="D25" s="60"/>
      <c r="E25" s="55"/>
      <c r="F25" s="55"/>
      <c r="G25" s="55"/>
      <c r="H25" s="55"/>
      <c r="I25" s="61"/>
      <c r="J25" s="25" t="s">
        <v>402</v>
      </c>
      <c r="K25" s="25" t="b">
        <f t="shared" si="0"/>
        <v>0</v>
      </c>
      <c r="L25" s="25" t="s">
        <v>403</v>
      </c>
      <c r="M25" s="25" t="b">
        <f t="shared" si="2"/>
        <v>0</v>
      </c>
      <c r="N25" s="25" t="s">
        <v>239</v>
      </c>
      <c r="O25" s="25" t="b">
        <f t="shared" si="1"/>
        <v>0</v>
      </c>
      <c r="P25" s="25"/>
      <c r="Q25" s="25"/>
      <c r="R25" s="25"/>
      <c r="S25" s="25"/>
    </row>
    <row r="26" spans="1:19" s="26" customFormat="1" ht="16.149999999999999" customHeight="1">
      <c r="A26" s="54"/>
      <c r="B26" s="55"/>
      <c r="C26" s="56"/>
      <c r="D26" s="62"/>
      <c r="E26" s="63"/>
      <c r="F26" s="63"/>
      <c r="G26" s="63"/>
      <c r="H26" s="63"/>
      <c r="I26" s="64"/>
      <c r="J26" s="25" t="s">
        <v>232</v>
      </c>
      <c r="K26" s="25" t="b">
        <f t="shared" si="0"/>
        <v>0</v>
      </c>
      <c r="L26" s="25" t="s">
        <v>33</v>
      </c>
      <c r="M26" s="25" t="b">
        <f t="shared" si="2"/>
        <v>0</v>
      </c>
      <c r="N26" s="25" t="s">
        <v>34</v>
      </c>
      <c r="O26" s="25" t="b">
        <f>IF(COUNTIF(N17,"*기타*"),TRUE,FALSE)</f>
        <v>1</v>
      </c>
      <c r="P26" s="25"/>
      <c r="Q26" s="25"/>
      <c r="R26" s="25"/>
      <c r="S26" s="25"/>
    </row>
    <row r="27" spans="1:19" s="26" customFormat="1" ht="15.75" customHeight="1">
      <c r="A27" s="54"/>
      <c r="B27" s="55"/>
      <c r="C27" s="56"/>
      <c r="D27" s="65" t="s">
        <v>404</v>
      </c>
      <c r="E27" s="66"/>
      <c r="F27" s="66"/>
      <c r="G27" s="67"/>
      <c r="H27" s="68"/>
      <c r="I27" s="69"/>
      <c r="J27" s="25" t="s">
        <v>405</v>
      </c>
      <c r="K27" s="25" t="b">
        <f t="shared" si="0"/>
        <v>0</v>
      </c>
      <c r="L27" s="25" t="s">
        <v>406</v>
      </c>
      <c r="M27" s="25" t="b">
        <f t="shared" si="2"/>
        <v>0</v>
      </c>
      <c r="N27" s="25"/>
      <c r="O27" s="25"/>
      <c r="P27" s="25"/>
      <c r="Q27" s="25"/>
      <c r="R27" s="25"/>
      <c r="S27" s="25"/>
    </row>
    <row r="28" spans="1:19" s="26" customFormat="1" ht="16.5" customHeight="1">
      <c r="A28" s="54"/>
      <c r="B28" s="55"/>
      <c r="C28" s="56"/>
      <c r="D28" s="70"/>
      <c r="E28" s="71"/>
      <c r="F28" s="71"/>
      <c r="G28" s="71"/>
      <c r="H28" s="71"/>
      <c r="I28" s="72"/>
      <c r="J28" s="25" t="s">
        <v>407</v>
      </c>
      <c r="K28" s="25" t="b">
        <f t="shared" si="0"/>
        <v>0</v>
      </c>
      <c r="L28" s="25" t="s">
        <v>408</v>
      </c>
      <c r="M28" s="25" t="b">
        <f t="shared" si="2"/>
        <v>0</v>
      </c>
      <c r="N28" s="25"/>
      <c r="O28" s="25"/>
      <c r="P28" s="25"/>
      <c r="Q28" s="25"/>
      <c r="R28" s="25"/>
      <c r="S28" s="25"/>
    </row>
    <row r="29" spans="1:19" s="26" customFormat="1" ht="16.5" customHeight="1">
      <c r="A29" s="54"/>
      <c r="B29" s="55"/>
      <c r="C29" s="56"/>
      <c r="D29" s="73"/>
      <c r="E29" s="74"/>
      <c r="F29" s="74"/>
      <c r="G29" s="74"/>
      <c r="H29" s="74"/>
      <c r="I29" s="75"/>
      <c r="J29" s="25" t="s">
        <v>34</v>
      </c>
      <c r="K29" s="25" t="b">
        <f t="shared" si="0"/>
        <v>0</v>
      </c>
      <c r="L29" s="25" t="s">
        <v>34</v>
      </c>
      <c r="M29" s="25" t="b">
        <f t="shared" si="2"/>
        <v>0</v>
      </c>
      <c r="N29" s="25"/>
      <c r="O29" s="25"/>
      <c r="P29" s="25"/>
      <c r="Q29" s="25"/>
      <c r="R29" s="25"/>
      <c r="S29" s="25"/>
    </row>
    <row r="30" spans="1:19" s="26" customFormat="1" ht="16.5" customHeight="1">
      <c r="A30" s="54"/>
      <c r="B30" s="55"/>
      <c r="C30" s="56"/>
      <c r="D30" s="73"/>
      <c r="E30" s="74"/>
      <c r="F30" s="74"/>
      <c r="G30" s="74"/>
      <c r="H30" s="74"/>
      <c r="I30" s="75"/>
      <c r="J30" s="25" t="s">
        <v>409</v>
      </c>
      <c r="K30" s="25" t="b">
        <f t="shared" si="0"/>
        <v>0</v>
      </c>
      <c r="L30" s="25" t="s">
        <v>410</v>
      </c>
      <c r="M30" s="25" t="b">
        <f t="shared" si="2"/>
        <v>0</v>
      </c>
      <c r="N30" s="25"/>
      <c r="O30" s="25"/>
      <c r="P30" s="25"/>
      <c r="Q30" s="25"/>
      <c r="R30" s="25"/>
      <c r="S30" s="25"/>
    </row>
    <row r="31" spans="1:19" s="26" customFormat="1" ht="16.5" customHeight="1">
      <c r="A31" s="54"/>
      <c r="B31" s="55"/>
      <c r="C31" s="56"/>
      <c r="D31" s="73"/>
      <c r="E31" s="74"/>
      <c r="F31" s="74"/>
      <c r="G31" s="74"/>
      <c r="H31" s="74"/>
      <c r="I31" s="75"/>
      <c r="J31" s="25" t="s">
        <v>411</v>
      </c>
      <c r="K31" s="25" t="b">
        <f t="shared" si="0"/>
        <v>0</v>
      </c>
      <c r="L31" s="25" t="s">
        <v>412</v>
      </c>
      <c r="M31" s="25" t="b">
        <f t="shared" si="2"/>
        <v>0</v>
      </c>
      <c r="N31" s="25"/>
      <c r="O31" s="25"/>
      <c r="P31" s="25"/>
      <c r="Q31" s="25"/>
      <c r="R31" s="25"/>
      <c r="S31" s="25"/>
    </row>
    <row r="32" spans="1:19" s="26" customFormat="1" ht="16.5" customHeight="1">
      <c r="A32" s="54"/>
      <c r="B32" s="55"/>
      <c r="C32" s="56"/>
      <c r="D32" s="73"/>
      <c r="E32" s="74"/>
      <c r="F32" s="74"/>
      <c r="G32" s="74"/>
      <c r="H32" s="74"/>
      <c r="I32" s="75"/>
      <c r="J32" s="25" t="s">
        <v>413</v>
      </c>
      <c r="K32" s="25" t="b">
        <f t="shared" si="0"/>
        <v>0</v>
      </c>
      <c r="L32" s="25" t="s">
        <v>414</v>
      </c>
      <c r="M32" s="25" t="b">
        <f t="shared" si="2"/>
        <v>0</v>
      </c>
      <c r="N32" s="25"/>
      <c r="O32" s="25"/>
      <c r="P32" s="25"/>
      <c r="Q32" s="25"/>
      <c r="R32" s="25"/>
      <c r="S32" s="25"/>
    </row>
    <row r="33" spans="1:19" s="26" customFormat="1" ht="16.5" customHeight="1">
      <c r="A33" s="54"/>
      <c r="B33" s="55"/>
      <c r="C33" s="56"/>
      <c r="D33" s="73"/>
      <c r="E33" s="74"/>
      <c r="F33" s="74"/>
      <c r="G33" s="74"/>
      <c r="H33" s="74"/>
      <c r="I33" s="75"/>
      <c r="J33" s="25" t="s">
        <v>415</v>
      </c>
      <c r="K33" s="25" t="b">
        <f t="shared" si="0"/>
        <v>0</v>
      </c>
      <c r="L33" s="25" t="s">
        <v>240</v>
      </c>
      <c r="M33" s="25" t="b">
        <f t="shared" si="2"/>
        <v>0</v>
      </c>
      <c r="N33" s="25"/>
      <c r="O33" s="25"/>
      <c r="P33" s="25"/>
      <c r="Q33" s="25"/>
      <c r="R33" s="25"/>
      <c r="S33" s="25"/>
    </row>
    <row r="34" spans="1:19" s="26" customFormat="1" ht="16.5" customHeight="1" thickBot="1">
      <c r="A34" s="76"/>
      <c r="B34" s="77"/>
      <c r="C34" s="78"/>
      <c r="D34" s="79"/>
      <c r="E34" s="80"/>
      <c r="F34" s="80"/>
      <c r="G34" s="80"/>
      <c r="H34" s="80"/>
      <c r="I34" s="81"/>
      <c r="J34" s="25" t="s">
        <v>416</v>
      </c>
      <c r="K34" s="25" t="b">
        <f t="shared" si="0"/>
        <v>0</v>
      </c>
      <c r="L34" s="25" t="s">
        <v>417</v>
      </c>
      <c r="M34" s="25" t="b">
        <f t="shared" si="2"/>
        <v>0</v>
      </c>
      <c r="N34" s="25"/>
      <c r="O34" s="25"/>
      <c r="P34" s="25"/>
      <c r="Q34" s="25"/>
      <c r="R34" s="25"/>
      <c r="S34" s="25"/>
    </row>
    <row r="35" spans="1:19" s="26" customFormat="1" ht="16.5" customHeight="1">
      <c r="A35" s="82" t="s">
        <v>418</v>
      </c>
      <c r="B35" s="83" t="s">
        <v>419</v>
      </c>
      <c r="C35" s="84"/>
      <c r="D35" s="84"/>
      <c r="E35" s="84"/>
      <c r="F35" s="84"/>
      <c r="G35" s="84"/>
      <c r="H35" s="85"/>
      <c r="I35" s="33"/>
      <c r="J35" s="25" t="s">
        <v>420</v>
      </c>
      <c r="K35" s="25" t="b">
        <f t="shared" si="0"/>
        <v>0</v>
      </c>
      <c r="L35" s="25" t="s">
        <v>421</v>
      </c>
      <c r="M35" s="25" t="b">
        <f t="shared" si="2"/>
        <v>0</v>
      </c>
      <c r="N35" s="25"/>
      <c r="O35" s="25"/>
      <c r="P35" s="25"/>
      <c r="Q35" s="25"/>
      <c r="R35" s="25"/>
      <c r="S35" s="25"/>
    </row>
    <row r="36" spans="1:19" s="26" customFormat="1" ht="16.5" customHeight="1">
      <c r="A36" s="82" t="s">
        <v>422</v>
      </c>
      <c r="B36" s="86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서두르지 않고 작업을 하겠습니다</v>
      </c>
      <c r="C36" s="87"/>
      <c r="D36" s="87"/>
      <c r="E36" s="87"/>
      <c r="F36" s="87"/>
      <c r="G36" s="87"/>
      <c r="H36" s="87"/>
      <c r="I36" s="88"/>
      <c r="J36" s="25" t="s">
        <v>423</v>
      </c>
      <c r="K36" s="25" t="b">
        <f t="shared" si="0"/>
        <v>0</v>
      </c>
      <c r="L36" s="25" t="s">
        <v>424</v>
      </c>
      <c r="M36" s="25" t="b">
        <f t="shared" si="2"/>
        <v>0</v>
      </c>
      <c r="N36" s="25"/>
      <c r="O36" s="25"/>
      <c r="P36" s="25"/>
      <c r="Q36" s="25"/>
      <c r="R36" s="25"/>
      <c r="S36" s="25"/>
    </row>
    <row r="37" spans="1:19" s="26" customFormat="1" ht="27.75" customHeight="1">
      <c r="A37" s="82" t="s">
        <v>425</v>
      </c>
      <c r="B37" s="86"/>
      <c r="C37" s="87"/>
      <c r="D37" s="87"/>
      <c r="E37" s="87"/>
      <c r="F37" s="87"/>
      <c r="G37" s="87"/>
      <c r="H37" s="87"/>
      <c r="I37" s="88"/>
      <c r="J37" s="25"/>
      <c r="K37" s="25"/>
      <c r="L37" s="25"/>
      <c r="M37" s="25"/>
      <c r="N37" s="25"/>
      <c r="O37" s="25"/>
      <c r="P37" s="25"/>
      <c r="Q37" s="25"/>
      <c r="R37" s="25"/>
      <c r="S37" s="25"/>
    </row>
    <row r="38" spans="1:19" s="26" customFormat="1" ht="16.5" customHeight="1" thickBot="1">
      <c r="A38" s="89"/>
      <c r="B38" s="90"/>
      <c r="C38" s="91"/>
      <c r="D38" s="91"/>
      <c r="E38" s="91"/>
      <c r="F38" s="91"/>
      <c r="G38" s="91"/>
      <c r="H38" s="91"/>
      <c r="I38" s="92"/>
      <c r="J38" s="25"/>
      <c r="K38" s="25"/>
      <c r="L38" s="25"/>
      <c r="M38" s="25"/>
      <c r="N38" s="25"/>
      <c r="O38" s="25"/>
      <c r="P38" s="25"/>
      <c r="Q38" s="25"/>
      <c r="R38" s="25"/>
      <c r="S38" s="25"/>
    </row>
    <row r="39" spans="1:19" s="26" customFormat="1" ht="18.75" customHeight="1" thickBot="1">
      <c r="A39" s="93" t="s">
        <v>426</v>
      </c>
      <c r="B39" s="94"/>
      <c r="C39" s="94"/>
      <c r="D39" s="94"/>
      <c r="E39" s="94"/>
      <c r="F39" s="94"/>
      <c r="G39" s="94"/>
      <c r="H39" s="94"/>
      <c r="I39" s="95"/>
      <c r="J39" s="25"/>
      <c r="K39" s="25"/>
      <c r="L39" s="25"/>
      <c r="M39" s="25"/>
      <c r="N39" s="25"/>
      <c r="O39" s="25"/>
      <c r="P39" s="25"/>
      <c r="Q39" s="25"/>
      <c r="R39" s="25"/>
      <c r="S39" s="25"/>
    </row>
    <row r="40" spans="1:19" s="26" customFormat="1" ht="18" thickTop="1">
      <c r="A40" s="82" t="s">
        <v>427</v>
      </c>
      <c r="B40" s="83" t="s">
        <v>428</v>
      </c>
      <c r="C40" s="84"/>
      <c r="D40" s="84"/>
      <c r="E40" s="84"/>
      <c r="F40" s="84"/>
      <c r="G40" s="84"/>
      <c r="H40" s="85"/>
      <c r="I40" s="33"/>
      <c r="J40" s="25"/>
      <c r="K40" s="25"/>
      <c r="L40" s="25"/>
      <c r="M40" s="25"/>
      <c r="N40" s="25"/>
      <c r="O40" s="25"/>
      <c r="P40" s="25"/>
      <c r="Q40" s="25"/>
      <c r="R40" s="25"/>
      <c r="S40" s="25"/>
    </row>
    <row r="41" spans="1:19" s="26" customFormat="1">
      <c r="A41" s="96" t="s">
        <v>429</v>
      </c>
      <c r="B41" s="97"/>
      <c r="C41" s="98"/>
      <c r="D41" s="98"/>
      <c r="E41" s="98"/>
      <c r="F41" s="98"/>
      <c r="G41" s="98"/>
      <c r="H41" s="98"/>
      <c r="I41" s="99"/>
      <c r="J41" s="25"/>
      <c r="K41" s="25"/>
      <c r="L41" s="25"/>
      <c r="M41" s="25"/>
      <c r="N41" s="25"/>
      <c r="O41" s="25"/>
      <c r="P41" s="25"/>
      <c r="Q41" s="25"/>
      <c r="R41" s="25"/>
      <c r="S41" s="25"/>
    </row>
    <row r="42" spans="1:19" s="26" customFormat="1" ht="27.75" customHeight="1">
      <c r="A42" s="96" t="s">
        <v>430</v>
      </c>
      <c r="B42" s="97"/>
      <c r="C42" s="98"/>
      <c r="D42" s="98"/>
      <c r="E42" s="98"/>
      <c r="F42" s="98"/>
      <c r="G42" s="98"/>
      <c r="H42" s="98"/>
      <c r="I42" s="99"/>
      <c r="J42" s="25"/>
      <c r="K42" s="25"/>
      <c r="L42" s="25"/>
      <c r="M42" s="25"/>
      <c r="N42" s="25"/>
      <c r="O42" s="25"/>
      <c r="P42" s="25"/>
      <c r="Q42" s="25"/>
      <c r="R42" s="25"/>
      <c r="S42" s="25"/>
    </row>
    <row r="43" spans="1:19" s="26" customFormat="1" ht="18" thickBot="1">
      <c r="A43" s="100"/>
      <c r="B43" s="101"/>
      <c r="C43" s="102"/>
      <c r="D43" s="102"/>
      <c r="E43" s="102"/>
      <c r="F43" s="102"/>
      <c r="G43" s="102"/>
      <c r="H43" s="102"/>
      <c r="I43" s="103"/>
      <c r="J43" s="25"/>
      <c r="K43" s="25"/>
      <c r="L43" s="25"/>
      <c r="M43" s="25"/>
      <c r="N43" s="25"/>
      <c r="O43" s="25"/>
      <c r="P43" s="25"/>
      <c r="Q43" s="25"/>
      <c r="R43" s="25"/>
      <c r="S43" s="25"/>
    </row>
    <row r="44" spans="1:19" s="26" customFormat="1" ht="17.25" customHeight="1" thickBot="1">
      <c r="A44" s="104" t="s">
        <v>431</v>
      </c>
      <c r="B44" s="105" t="s">
        <v>432</v>
      </c>
      <c r="C44" s="106" t="s">
        <v>433</v>
      </c>
      <c r="D44" s="107"/>
      <c r="E44" s="108"/>
      <c r="F44" s="109" t="s">
        <v>434</v>
      </c>
      <c r="G44" s="110"/>
      <c r="H44" s="110"/>
      <c r="I44" s="111"/>
      <c r="J44" s="25"/>
      <c r="K44" s="25"/>
      <c r="L44" s="25"/>
      <c r="M44" s="25"/>
      <c r="N44" s="25"/>
      <c r="O44" s="25"/>
      <c r="P44" s="25"/>
      <c r="Q44" s="25"/>
      <c r="R44" s="25"/>
      <c r="S44" s="25"/>
    </row>
    <row r="45" spans="1:19" s="26" customFormat="1" ht="18.75" customHeight="1" thickBot="1">
      <c r="A45" s="93" t="s">
        <v>435</v>
      </c>
      <c r="B45" s="94"/>
      <c r="C45" s="94"/>
      <c r="D45" s="94"/>
      <c r="E45" s="94"/>
      <c r="F45" s="94"/>
      <c r="G45" s="94"/>
      <c r="H45" s="94"/>
      <c r="I45" s="95"/>
      <c r="J45" s="25"/>
      <c r="K45" s="25"/>
      <c r="L45" s="25"/>
      <c r="M45" s="25"/>
      <c r="N45" s="25"/>
      <c r="O45" s="25"/>
      <c r="P45" s="25"/>
      <c r="Q45" s="25"/>
      <c r="R45" s="25"/>
      <c r="S45" s="25"/>
    </row>
    <row r="46" spans="1:19" s="26" customFormat="1" ht="17.25" customHeight="1" thickTop="1" thickBot="1">
      <c r="A46" s="112" t="s">
        <v>436</v>
      </c>
      <c r="B46" s="113" t="s">
        <v>437</v>
      </c>
      <c r="C46" s="114" t="s">
        <v>433</v>
      </c>
      <c r="D46" s="115"/>
      <c r="E46" s="116"/>
      <c r="F46" s="117"/>
      <c r="G46" s="118"/>
      <c r="H46" s="118"/>
      <c r="I46" s="119"/>
      <c r="J46" s="25"/>
      <c r="K46" s="25"/>
      <c r="L46" s="25"/>
      <c r="M46" s="25"/>
      <c r="N46" s="25"/>
      <c r="O46" s="25"/>
      <c r="P46" s="25"/>
      <c r="Q46" s="25"/>
      <c r="R46" s="25"/>
      <c r="S46" s="25"/>
    </row>
    <row r="47" spans="1:19" s="26" customFormat="1" ht="18.75" thickTop="1" thickBot="1">
      <c r="A47" s="120" t="s">
        <v>438</v>
      </c>
      <c r="B47" s="121"/>
      <c r="C47" s="121"/>
      <c r="D47" s="121"/>
      <c r="E47" s="121"/>
      <c r="F47" s="121"/>
      <c r="G47" s="121"/>
      <c r="H47" s="121"/>
      <c r="I47" s="122"/>
      <c r="J47" s="25"/>
      <c r="K47" s="25"/>
      <c r="L47" s="25"/>
      <c r="M47" s="25"/>
      <c r="N47" s="25"/>
      <c r="O47" s="25"/>
      <c r="P47" s="25"/>
      <c r="Q47" s="25"/>
      <c r="R47" s="25"/>
      <c r="S47" s="25"/>
    </row>
    <row r="48" spans="1:19">
      <c r="A48" s="123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1:H2"/>
    <mergeCell ref="H5:I5"/>
    <mergeCell ref="B6:C6"/>
    <mergeCell ref="E6:F6"/>
    <mergeCell ref="H6:I6"/>
    <mergeCell ref="B7:I7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4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313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4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5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104775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6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7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47625</xdr:rowOff>
                  </from>
                  <to>
                    <xdr:col>4</xdr:col>
                    <xdr:colOff>400050</xdr:colOff>
                    <xdr:row>32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8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9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171450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0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180975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1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2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3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4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47625</xdr:rowOff>
                  </from>
                  <to>
                    <xdr:col>9</xdr:col>
                    <xdr:colOff>28575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5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6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7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8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9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0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1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2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3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4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5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6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7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8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9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0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1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2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3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4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523875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5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6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219075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7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180975</xdr:rowOff>
                  </from>
                  <to>
                    <xdr:col>1</xdr:col>
                    <xdr:colOff>685800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8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9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0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1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2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3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142875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4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152400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5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581025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6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180975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7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8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9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0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1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2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142875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3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152400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4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B69A23E-63DB-468A-9D08-CD22F78EF2BD}">
          <x14:formula1>
            <xm:f>near_miss_excel_view!$C:$C</xm:f>
          </x14:formula1>
          <xm:sqref>K9 B7:I7</xm:sqref>
        </x14:dataValidation>
        <x14:dataValidation type="list" allowBlank="1" showInputMessage="1" showErrorMessage="1" xr:uid="{6ADC25FA-FD04-4562-A7CD-C4D529C355CC}">
          <x14:formula1>
            <xm:f>near_miss_excel_view!$A:$A</xm:f>
          </x14:formula1>
          <xm:sqref>J12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2AA01-D6D7-4FE2-890E-91E506F33023}">
  <sheetPr>
    <tabColor rgb="FFFFFF00"/>
    <pageSetUpPr fitToPage="1"/>
  </sheetPr>
  <dimension ref="A1:S48"/>
  <sheetViews>
    <sheetView showGridLines="0" view="pageBreakPreview" topLeftCell="A20" zoomScale="115" zoomScaleNormal="100" zoomScaleSheetLayoutView="115" workbookViewId="0">
      <selection activeCell="O23" sqref="O23"/>
    </sheetView>
  </sheetViews>
  <sheetFormatPr defaultColWidth="9" defaultRowHeight="17.25"/>
  <cols>
    <col min="1" max="1" width="21.375" style="9" customWidth="1"/>
    <col min="2" max="2" width="11.125" style="9" customWidth="1"/>
    <col min="3" max="3" width="8.625" style="9" customWidth="1"/>
    <col min="4" max="4" width="9" style="9"/>
    <col min="5" max="6" width="8" style="9" customWidth="1"/>
    <col min="7" max="7" width="8.875" style="9" bestFit="1" customWidth="1"/>
    <col min="8" max="8" width="11.25" style="9" customWidth="1"/>
    <col min="9" max="9" width="10.75" style="9" customWidth="1"/>
    <col min="10" max="10" width="10.625" style="10" customWidth="1"/>
    <col min="11" max="11" width="5.25" style="10" customWidth="1"/>
    <col min="12" max="12" width="10.625" style="10" customWidth="1"/>
    <col min="13" max="13" width="5.25" style="10" customWidth="1"/>
    <col min="14" max="14" width="10.625" style="10" customWidth="1"/>
    <col min="15" max="15" width="5.25" style="10" customWidth="1"/>
    <col min="16" max="16" width="15.375" style="10" customWidth="1"/>
    <col min="17" max="17" width="5.25" style="10" customWidth="1"/>
    <col min="18" max="18" width="9" style="10"/>
    <col min="19" max="19" width="5.75" style="10" customWidth="1"/>
    <col min="20" max="256" width="9" style="9"/>
    <col min="257" max="257" width="21.375" style="9" customWidth="1"/>
    <col min="258" max="258" width="11.125" style="9" customWidth="1"/>
    <col min="259" max="259" width="10.75" style="9" customWidth="1"/>
    <col min="260" max="260" width="9" style="9"/>
    <col min="261" max="262" width="8" style="9" customWidth="1"/>
    <col min="263" max="263" width="8.875" style="9" bestFit="1" customWidth="1"/>
    <col min="264" max="265" width="11.25" style="9" customWidth="1"/>
    <col min="266" max="512" width="9" style="9"/>
    <col min="513" max="513" width="21.375" style="9" customWidth="1"/>
    <col min="514" max="514" width="11.125" style="9" customWidth="1"/>
    <col min="515" max="515" width="10.75" style="9" customWidth="1"/>
    <col min="516" max="516" width="9" style="9"/>
    <col min="517" max="518" width="8" style="9" customWidth="1"/>
    <col min="519" max="519" width="8.875" style="9" bestFit="1" customWidth="1"/>
    <col min="520" max="521" width="11.25" style="9" customWidth="1"/>
    <col min="522" max="768" width="9" style="9"/>
    <col min="769" max="769" width="21.375" style="9" customWidth="1"/>
    <col min="770" max="770" width="11.125" style="9" customWidth="1"/>
    <col min="771" max="771" width="10.75" style="9" customWidth="1"/>
    <col min="772" max="772" width="9" style="9"/>
    <col min="773" max="774" width="8" style="9" customWidth="1"/>
    <col min="775" max="775" width="8.875" style="9" bestFit="1" customWidth="1"/>
    <col min="776" max="777" width="11.25" style="9" customWidth="1"/>
    <col min="778" max="1024" width="9" style="9"/>
    <col min="1025" max="1025" width="21.375" style="9" customWidth="1"/>
    <col min="1026" max="1026" width="11.125" style="9" customWidth="1"/>
    <col min="1027" max="1027" width="10.75" style="9" customWidth="1"/>
    <col min="1028" max="1028" width="9" style="9"/>
    <col min="1029" max="1030" width="8" style="9" customWidth="1"/>
    <col min="1031" max="1031" width="8.875" style="9" bestFit="1" customWidth="1"/>
    <col min="1032" max="1033" width="11.25" style="9" customWidth="1"/>
    <col min="1034" max="1280" width="9" style="9"/>
    <col min="1281" max="1281" width="21.375" style="9" customWidth="1"/>
    <col min="1282" max="1282" width="11.125" style="9" customWidth="1"/>
    <col min="1283" max="1283" width="10.75" style="9" customWidth="1"/>
    <col min="1284" max="1284" width="9" style="9"/>
    <col min="1285" max="1286" width="8" style="9" customWidth="1"/>
    <col min="1287" max="1287" width="8.875" style="9" bestFit="1" customWidth="1"/>
    <col min="1288" max="1289" width="11.25" style="9" customWidth="1"/>
    <col min="1290" max="1536" width="9" style="9"/>
    <col min="1537" max="1537" width="21.375" style="9" customWidth="1"/>
    <col min="1538" max="1538" width="11.125" style="9" customWidth="1"/>
    <col min="1539" max="1539" width="10.75" style="9" customWidth="1"/>
    <col min="1540" max="1540" width="9" style="9"/>
    <col min="1541" max="1542" width="8" style="9" customWidth="1"/>
    <col min="1543" max="1543" width="8.875" style="9" bestFit="1" customWidth="1"/>
    <col min="1544" max="1545" width="11.25" style="9" customWidth="1"/>
    <col min="1546" max="1792" width="9" style="9"/>
    <col min="1793" max="1793" width="21.375" style="9" customWidth="1"/>
    <col min="1794" max="1794" width="11.125" style="9" customWidth="1"/>
    <col min="1795" max="1795" width="10.75" style="9" customWidth="1"/>
    <col min="1796" max="1796" width="9" style="9"/>
    <col min="1797" max="1798" width="8" style="9" customWidth="1"/>
    <col min="1799" max="1799" width="8.875" style="9" bestFit="1" customWidth="1"/>
    <col min="1800" max="1801" width="11.25" style="9" customWidth="1"/>
    <col min="1802" max="2048" width="9" style="9"/>
    <col min="2049" max="2049" width="21.375" style="9" customWidth="1"/>
    <col min="2050" max="2050" width="11.125" style="9" customWidth="1"/>
    <col min="2051" max="2051" width="10.75" style="9" customWidth="1"/>
    <col min="2052" max="2052" width="9" style="9"/>
    <col min="2053" max="2054" width="8" style="9" customWidth="1"/>
    <col min="2055" max="2055" width="8.875" style="9" bestFit="1" customWidth="1"/>
    <col min="2056" max="2057" width="11.25" style="9" customWidth="1"/>
    <col min="2058" max="2304" width="9" style="9"/>
    <col min="2305" max="2305" width="21.375" style="9" customWidth="1"/>
    <col min="2306" max="2306" width="11.125" style="9" customWidth="1"/>
    <col min="2307" max="2307" width="10.75" style="9" customWidth="1"/>
    <col min="2308" max="2308" width="9" style="9"/>
    <col min="2309" max="2310" width="8" style="9" customWidth="1"/>
    <col min="2311" max="2311" width="8.875" style="9" bestFit="1" customWidth="1"/>
    <col min="2312" max="2313" width="11.25" style="9" customWidth="1"/>
    <col min="2314" max="2560" width="9" style="9"/>
    <col min="2561" max="2561" width="21.375" style="9" customWidth="1"/>
    <col min="2562" max="2562" width="11.125" style="9" customWidth="1"/>
    <col min="2563" max="2563" width="10.75" style="9" customWidth="1"/>
    <col min="2564" max="2564" width="9" style="9"/>
    <col min="2565" max="2566" width="8" style="9" customWidth="1"/>
    <col min="2567" max="2567" width="8.875" style="9" bestFit="1" customWidth="1"/>
    <col min="2568" max="2569" width="11.25" style="9" customWidth="1"/>
    <col min="2570" max="2816" width="9" style="9"/>
    <col min="2817" max="2817" width="21.375" style="9" customWidth="1"/>
    <col min="2818" max="2818" width="11.125" style="9" customWidth="1"/>
    <col min="2819" max="2819" width="10.75" style="9" customWidth="1"/>
    <col min="2820" max="2820" width="9" style="9"/>
    <col min="2821" max="2822" width="8" style="9" customWidth="1"/>
    <col min="2823" max="2823" width="8.875" style="9" bestFit="1" customWidth="1"/>
    <col min="2824" max="2825" width="11.25" style="9" customWidth="1"/>
    <col min="2826" max="3072" width="9" style="9"/>
    <col min="3073" max="3073" width="21.375" style="9" customWidth="1"/>
    <col min="3074" max="3074" width="11.125" style="9" customWidth="1"/>
    <col min="3075" max="3075" width="10.75" style="9" customWidth="1"/>
    <col min="3076" max="3076" width="9" style="9"/>
    <col min="3077" max="3078" width="8" style="9" customWidth="1"/>
    <col min="3079" max="3079" width="8.875" style="9" bestFit="1" customWidth="1"/>
    <col min="3080" max="3081" width="11.25" style="9" customWidth="1"/>
    <col min="3082" max="3328" width="9" style="9"/>
    <col min="3329" max="3329" width="21.375" style="9" customWidth="1"/>
    <col min="3330" max="3330" width="11.125" style="9" customWidth="1"/>
    <col min="3331" max="3331" width="10.75" style="9" customWidth="1"/>
    <col min="3332" max="3332" width="9" style="9"/>
    <col min="3333" max="3334" width="8" style="9" customWidth="1"/>
    <col min="3335" max="3335" width="8.875" style="9" bestFit="1" customWidth="1"/>
    <col min="3336" max="3337" width="11.25" style="9" customWidth="1"/>
    <col min="3338" max="3584" width="9" style="9"/>
    <col min="3585" max="3585" width="21.375" style="9" customWidth="1"/>
    <col min="3586" max="3586" width="11.125" style="9" customWidth="1"/>
    <col min="3587" max="3587" width="10.75" style="9" customWidth="1"/>
    <col min="3588" max="3588" width="9" style="9"/>
    <col min="3589" max="3590" width="8" style="9" customWidth="1"/>
    <col min="3591" max="3591" width="8.875" style="9" bestFit="1" customWidth="1"/>
    <col min="3592" max="3593" width="11.25" style="9" customWidth="1"/>
    <col min="3594" max="3840" width="9" style="9"/>
    <col min="3841" max="3841" width="21.375" style="9" customWidth="1"/>
    <col min="3842" max="3842" width="11.125" style="9" customWidth="1"/>
    <col min="3843" max="3843" width="10.75" style="9" customWidth="1"/>
    <col min="3844" max="3844" width="9" style="9"/>
    <col min="3845" max="3846" width="8" style="9" customWidth="1"/>
    <col min="3847" max="3847" width="8.875" style="9" bestFit="1" customWidth="1"/>
    <col min="3848" max="3849" width="11.25" style="9" customWidth="1"/>
    <col min="3850" max="4096" width="9" style="9"/>
    <col min="4097" max="4097" width="21.375" style="9" customWidth="1"/>
    <col min="4098" max="4098" width="11.125" style="9" customWidth="1"/>
    <col min="4099" max="4099" width="10.75" style="9" customWidth="1"/>
    <col min="4100" max="4100" width="9" style="9"/>
    <col min="4101" max="4102" width="8" style="9" customWidth="1"/>
    <col min="4103" max="4103" width="8.875" style="9" bestFit="1" customWidth="1"/>
    <col min="4104" max="4105" width="11.25" style="9" customWidth="1"/>
    <col min="4106" max="4352" width="9" style="9"/>
    <col min="4353" max="4353" width="21.375" style="9" customWidth="1"/>
    <col min="4354" max="4354" width="11.125" style="9" customWidth="1"/>
    <col min="4355" max="4355" width="10.75" style="9" customWidth="1"/>
    <col min="4356" max="4356" width="9" style="9"/>
    <col min="4357" max="4358" width="8" style="9" customWidth="1"/>
    <col min="4359" max="4359" width="8.875" style="9" bestFit="1" customWidth="1"/>
    <col min="4360" max="4361" width="11.25" style="9" customWidth="1"/>
    <col min="4362" max="4608" width="9" style="9"/>
    <col min="4609" max="4609" width="21.375" style="9" customWidth="1"/>
    <col min="4610" max="4610" width="11.125" style="9" customWidth="1"/>
    <col min="4611" max="4611" width="10.75" style="9" customWidth="1"/>
    <col min="4612" max="4612" width="9" style="9"/>
    <col min="4613" max="4614" width="8" style="9" customWidth="1"/>
    <col min="4615" max="4615" width="8.875" style="9" bestFit="1" customWidth="1"/>
    <col min="4616" max="4617" width="11.25" style="9" customWidth="1"/>
    <col min="4618" max="4864" width="9" style="9"/>
    <col min="4865" max="4865" width="21.375" style="9" customWidth="1"/>
    <col min="4866" max="4866" width="11.125" style="9" customWidth="1"/>
    <col min="4867" max="4867" width="10.75" style="9" customWidth="1"/>
    <col min="4868" max="4868" width="9" style="9"/>
    <col min="4869" max="4870" width="8" style="9" customWidth="1"/>
    <col min="4871" max="4871" width="8.875" style="9" bestFit="1" customWidth="1"/>
    <col min="4872" max="4873" width="11.25" style="9" customWidth="1"/>
    <col min="4874" max="5120" width="9" style="9"/>
    <col min="5121" max="5121" width="21.375" style="9" customWidth="1"/>
    <col min="5122" max="5122" width="11.125" style="9" customWidth="1"/>
    <col min="5123" max="5123" width="10.75" style="9" customWidth="1"/>
    <col min="5124" max="5124" width="9" style="9"/>
    <col min="5125" max="5126" width="8" style="9" customWidth="1"/>
    <col min="5127" max="5127" width="8.875" style="9" bestFit="1" customWidth="1"/>
    <col min="5128" max="5129" width="11.25" style="9" customWidth="1"/>
    <col min="5130" max="5376" width="9" style="9"/>
    <col min="5377" max="5377" width="21.375" style="9" customWidth="1"/>
    <col min="5378" max="5378" width="11.125" style="9" customWidth="1"/>
    <col min="5379" max="5379" width="10.75" style="9" customWidth="1"/>
    <col min="5380" max="5380" width="9" style="9"/>
    <col min="5381" max="5382" width="8" style="9" customWidth="1"/>
    <col min="5383" max="5383" width="8.875" style="9" bestFit="1" customWidth="1"/>
    <col min="5384" max="5385" width="11.25" style="9" customWidth="1"/>
    <col min="5386" max="5632" width="9" style="9"/>
    <col min="5633" max="5633" width="21.375" style="9" customWidth="1"/>
    <col min="5634" max="5634" width="11.125" style="9" customWidth="1"/>
    <col min="5635" max="5635" width="10.75" style="9" customWidth="1"/>
    <col min="5636" max="5636" width="9" style="9"/>
    <col min="5637" max="5638" width="8" style="9" customWidth="1"/>
    <col min="5639" max="5639" width="8.875" style="9" bestFit="1" customWidth="1"/>
    <col min="5640" max="5641" width="11.25" style="9" customWidth="1"/>
    <col min="5642" max="5888" width="9" style="9"/>
    <col min="5889" max="5889" width="21.375" style="9" customWidth="1"/>
    <col min="5890" max="5890" width="11.125" style="9" customWidth="1"/>
    <col min="5891" max="5891" width="10.75" style="9" customWidth="1"/>
    <col min="5892" max="5892" width="9" style="9"/>
    <col min="5893" max="5894" width="8" style="9" customWidth="1"/>
    <col min="5895" max="5895" width="8.875" style="9" bestFit="1" customWidth="1"/>
    <col min="5896" max="5897" width="11.25" style="9" customWidth="1"/>
    <col min="5898" max="6144" width="9" style="9"/>
    <col min="6145" max="6145" width="21.375" style="9" customWidth="1"/>
    <col min="6146" max="6146" width="11.125" style="9" customWidth="1"/>
    <col min="6147" max="6147" width="10.75" style="9" customWidth="1"/>
    <col min="6148" max="6148" width="9" style="9"/>
    <col min="6149" max="6150" width="8" style="9" customWidth="1"/>
    <col min="6151" max="6151" width="8.875" style="9" bestFit="1" customWidth="1"/>
    <col min="6152" max="6153" width="11.25" style="9" customWidth="1"/>
    <col min="6154" max="6400" width="9" style="9"/>
    <col min="6401" max="6401" width="21.375" style="9" customWidth="1"/>
    <col min="6402" max="6402" width="11.125" style="9" customWidth="1"/>
    <col min="6403" max="6403" width="10.75" style="9" customWidth="1"/>
    <col min="6404" max="6404" width="9" style="9"/>
    <col min="6405" max="6406" width="8" style="9" customWidth="1"/>
    <col min="6407" max="6407" width="8.875" style="9" bestFit="1" customWidth="1"/>
    <col min="6408" max="6409" width="11.25" style="9" customWidth="1"/>
    <col min="6410" max="6656" width="9" style="9"/>
    <col min="6657" max="6657" width="21.375" style="9" customWidth="1"/>
    <col min="6658" max="6658" width="11.125" style="9" customWidth="1"/>
    <col min="6659" max="6659" width="10.75" style="9" customWidth="1"/>
    <col min="6660" max="6660" width="9" style="9"/>
    <col min="6661" max="6662" width="8" style="9" customWidth="1"/>
    <col min="6663" max="6663" width="8.875" style="9" bestFit="1" customWidth="1"/>
    <col min="6664" max="6665" width="11.25" style="9" customWidth="1"/>
    <col min="6666" max="6912" width="9" style="9"/>
    <col min="6913" max="6913" width="21.375" style="9" customWidth="1"/>
    <col min="6914" max="6914" width="11.125" style="9" customWidth="1"/>
    <col min="6915" max="6915" width="10.75" style="9" customWidth="1"/>
    <col min="6916" max="6916" width="9" style="9"/>
    <col min="6917" max="6918" width="8" style="9" customWidth="1"/>
    <col min="6919" max="6919" width="8.875" style="9" bestFit="1" customWidth="1"/>
    <col min="6920" max="6921" width="11.25" style="9" customWidth="1"/>
    <col min="6922" max="7168" width="9" style="9"/>
    <col min="7169" max="7169" width="21.375" style="9" customWidth="1"/>
    <col min="7170" max="7170" width="11.125" style="9" customWidth="1"/>
    <col min="7171" max="7171" width="10.75" style="9" customWidth="1"/>
    <col min="7172" max="7172" width="9" style="9"/>
    <col min="7173" max="7174" width="8" style="9" customWidth="1"/>
    <col min="7175" max="7175" width="8.875" style="9" bestFit="1" customWidth="1"/>
    <col min="7176" max="7177" width="11.25" style="9" customWidth="1"/>
    <col min="7178" max="7424" width="9" style="9"/>
    <col min="7425" max="7425" width="21.375" style="9" customWidth="1"/>
    <col min="7426" max="7426" width="11.125" style="9" customWidth="1"/>
    <col min="7427" max="7427" width="10.75" style="9" customWidth="1"/>
    <col min="7428" max="7428" width="9" style="9"/>
    <col min="7429" max="7430" width="8" style="9" customWidth="1"/>
    <col min="7431" max="7431" width="8.875" style="9" bestFit="1" customWidth="1"/>
    <col min="7432" max="7433" width="11.25" style="9" customWidth="1"/>
    <col min="7434" max="7680" width="9" style="9"/>
    <col min="7681" max="7681" width="21.375" style="9" customWidth="1"/>
    <col min="7682" max="7682" width="11.125" style="9" customWidth="1"/>
    <col min="7683" max="7683" width="10.75" style="9" customWidth="1"/>
    <col min="7684" max="7684" width="9" style="9"/>
    <col min="7685" max="7686" width="8" style="9" customWidth="1"/>
    <col min="7687" max="7687" width="8.875" style="9" bestFit="1" customWidth="1"/>
    <col min="7688" max="7689" width="11.25" style="9" customWidth="1"/>
    <col min="7690" max="7936" width="9" style="9"/>
    <col min="7937" max="7937" width="21.375" style="9" customWidth="1"/>
    <col min="7938" max="7938" width="11.125" style="9" customWidth="1"/>
    <col min="7939" max="7939" width="10.75" style="9" customWidth="1"/>
    <col min="7940" max="7940" width="9" style="9"/>
    <col min="7941" max="7942" width="8" style="9" customWidth="1"/>
    <col min="7943" max="7943" width="8.875" style="9" bestFit="1" customWidth="1"/>
    <col min="7944" max="7945" width="11.25" style="9" customWidth="1"/>
    <col min="7946" max="8192" width="9" style="9"/>
    <col min="8193" max="8193" width="21.375" style="9" customWidth="1"/>
    <col min="8194" max="8194" width="11.125" style="9" customWidth="1"/>
    <col min="8195" max="8195" width="10.75" style="9" customWidth="1"/>
    <col min="8196" max="8196" width="9" style="9"/>
    <col min="8197" max="8198" width="8" style="9" customWidth="1"/>
    <col min="8199" max="8199" width="8.875" style="9" bestFit="1" customWidth="1"/>
    <col min="8200" max="8201" width="11.25" style="9" customWidth="1"/>
    <col min="8202" max="8448" width="9" style="9"/>
    <col min="8449" max="8449" width="21.375" style="9" customWidth="1"/>
    <col min="8450" max="8450" width="11.125" style="9" customWidth="1"/>
    <col min="8451" max="8451" width="10.75" style="9" customWidth="1"/>
    <col min="8452" max="8452" width="9" style="9"/>
    <col min="8453" max="8454" width="8" style="9" customWidth="1"/>
    <col min="8455" max="8455" width="8.875" style="9" bestFit="1" customWidth="1"/>
    <col min="8456" max="8457" width="11.25" style="9" customWidth="1"/>
    <col min="8458" max="8704" width="9" style="9"/>
    <col min="8705" max="8705" width="21.375" style="9" customWidth="1"/>
    <col min="8706" max="8706" width="11.125" style="9" customWidth="1"/>
    <col min="8707" max="8707" width="10.75" style="9" customWidth="1"/>
    <col min="8708" max="8708" width="9" style="9"/>
    <col min="8709" max="8710" width="8" style="9" customWidth="1"/>
    <col min="8711" max="8711" width="8.875" style="9" bestFit="1" customWidth="1"/>
    <col min="8712" max="8713" width="11.25" style="9" customWidth="1"/>
    <col min="8714" max="8960" width="9" style="9"/>
    <col min="8961" max="8961" width="21.375" style="9" customWidth="1"/>
    <col min="8962" max="8962" width="11.125" style="9" customWidth="1"/>
    <col min="8963" max="8963" width="10.75" style="9" customWidth="1"/>
    <col min="8964" max="8964" width="9" style="9"/>
    <col min="8965" max="8966" width="8" style="9" customWidth="1"/>
    <col min="8967" max="8967" width="8.875" style="9" bestFit="1" customWidth="1"/>
    <col min="8968" max="8969" width="11.25" style="9" customWidth="1"/>
    <col min="8970" max="9216" width="9" style="9"/>
    <col min="9217" max="9217" width="21.375" style="9" customWidth="1"/>
    <col min="9218" max="9218" width="11.125" style="9" customWidth="1"/>
    <col min="9219" max="9219" width="10.75" style="9" customWidth="1"/>
    <col min="9220" max="9220" width="9" style="9"/>
    <col min="9221" max="9222" width="8" style="9" customWidth="1"/>
    <col min="9223" max="9223" width="8.875" style="9" bestFit="1" customWidth="1"/>
    <col min="9224" max="9225" width="11.25" style="9" customWidth="1"/>
    <col min="9226" max="9472" width="9" style="9"/>
    <col min="9473" max="9473" width="21.375" style="9" customWidth="1"/>
    <col min="9474" max="9474" width="11.125" style="9" customWidth="1"/>
    <col min="9475" max="9475" width="10.75" style="9" customWidth="1"/>
    <col min="9476" max="9476" width="9" style="9"/>
    <col min="9477" max="9478" width="8" style="9" customWidth="1"/>
    <col min="9479" max="9479" width="8.875" style="9" bestFit="1" customWidth="1"/>
    <col min="9480" max="9481" width="11.25" style="9" customWidth="1"/>
    <col min="9482" max="9728" width="9" style="9"/>
    <col min="9729" max="9729" width="21.375" style="9" customWidth="1"/>
    <col min="9730" max="9730" width="11.125" style="9" customWidth="1"/>
    <col min="9731" max="9731" width="10.75" style="9" customWidth="1"/>
    <col min="9732" max="9732" width="9" style="9"/>
    <col min="9733" max="9734" width="8" style="9" customWidth="1"/>
    <col min="9735" max="9735" width="8.875" style="9" bestFit="1" customWidth="1"/>
    <col min="9736" max="9737" width="11.25" style="9" customWidth="1"/>
    <col min="9738" max="9984" width="9" style="9"/>
    <col min="9985" max="9985" width="21.375" style="9" customWidth="1"/>
    <col min="9986" max="9986" width="11.125" style="9" customWidth="1"/>
    <col min="9987" max="9987" width="10.75" style="9" customWidth="1"/>
    <col min="9988" max="9988" width="9" style="9"/>
    <col min="9989" max="9990" width="8" style="9" customWidth="1"/>
    <col min="9991" max="9991" width="8.875" style="9" bestFit="1" customWidth="1"/>
    <col min="9992" max="9993" width="11.25" style="9" customWidth="1"/>
    <col min="9994" max="10240" width="9" style="9"/>
    <col min="10241" max="10241" width="21.375" style="9" customWidth="1"/>
    <col min="10242" max="10242" width="11.125" style="9" customWidth="1"/>
    <col min="10243" max="10243" width="10.75" style="9" customWidth="1"/>
    <col min="10244" max="10244" width="9" style="9"/>
    <col min="10245" max="10246" width="8" style="9" customWidth="1"/>
    <col min="10247" max="10247" width="8.875" style="9" bestFit="1" customWidth="1"/>
    <col min="10248" max="10249" width="11.25" style="9" customWidth="1"/>
    <col min="10250" max="10496" width="9" style="9"/>
    <col min="10497" max="10497" width="21.375" style="9" customWidth="1"/>
    <col min="10498" max="10498" width="11.125" style="9" customWidth="1"/>
    <col min="10499" max="10499" width="10.75" style="9" customWidth="1"/>
    <col min="10500" max="10500" width="9" style="9"/>
    <col min="10501" max="10502" width="8" style="9" customWidth="1"/>
    <col min="10503" max="10503" width="8.875" style="9" bestFit="1" customWidth="1"/>
    <col min="10504" max="10505" width="11.25" style="9" customWidth="1"/>
    <col min="10506" max="10752" width="9" style="9"/>
    <col min="10753" max="10753" width="21.375" style="9" customWidth="1"/>
    <col min="10754" max="10754" width="11.125" style="9" customWidth="1"/>
    <col min="10755" max="10755" width="10.75" style="9" customWidth="1"/>
    <col min="10756" max="10756" width="9" style="9"/>
    <col min="10757" max="10758" width="8" style="9" customWidth="1"/>
    <col min="10759" max="10759" width="8.875" style="9" bestFit="1" customWidth="1"/>
    <col min="10760" max="10761" width="11.25" style="9" customWidth="1"/>
    <col min="10762" max="11008" width="9" style="9"/>
    <col min="11009" max="11009" width="21.375" style="9" customWidth="1"/>
    <col min="11010" max="11010" width="11.125" style="9" customWidth="1"/>
    <col min="11011" max="11011" width="10.75" style="9" customWidth="1"/>
    <col min="11012" max="11012" width="9" style="9"/>
    <col min="11013" max="11014" width="8" style="9" customWidth="1"/>
    <col min="11015" max="11015" width="8.875" style="9" bestFit="1" customWidth="1"/>
    <col min="11016" max="11017" width="11.25" style="9" customWidth="1"/>
    <col min="11018" max="11264" width="9" style="9"/>
    <col min="11265" max="11265" width="21.375" style="9" customWidth="1"/>
    <col min="11266" max="11266" width="11.125" style="9" customWidth="1"/>
    <col min="11267" max="11267" width="10.75" style="9" customWidth="1"/>
    <col min="11268" max="11268" width="9" style="9"/>
    <col min="11269" max="11270" width="8" style="9" customWidth="1"/>
    <col min="11271" max="11271" width="8.875" style="9" bestFit="1" customWidth="1"/>
    <col min="11272" max="11273" width="11.25" style="9" customWidth="1"/>
    <col min="11274" max="11520" width="9" style="9"/>
    <col min="11521" max="11521" width="21.375" style="9" customWidth="1"/>
    <col min="11522" max="11522" width="11.125" style="9" customWidth="1"/>
    <col min="11523" max="11523" width="10.75" style="9" customWidth="1"/>
    <col min="11524" max="11524" width="9" style="9"/>
    <col min="11525" max="11526" width="8" style="9" customWidth="1"/>
    <col min="11527" max="11527" width="8.875" style="9" bestFit="1" customWidth="1"/>
    <col min="11528" max="11529" width="11.25" style="9" customWidth="1"/>
    <col min="11530" max="11776" width="9" style="9"/>
    <col min="11777" max="11777" width="21.375" style="9" customWidth="1"/>
    <col min="11778" max="11778" width="11.125" style="9" customWidth="1"/>
    <col min="11779" max="11779" width="10.75" style="9" customWidth="1"/>
    <col min="11780" max="11780" width="9" style="9"/>
    <col min="11781" max="11782" width="8" style="9" customWidth="1"/>
    <col min="11783" max="11783" width="8.875" style="9" bestFit="1" customWidth="1"/>
    <col min="11784" max="11785" width="11.25" style="9" customWidth="1"/>
    <col min="11786" max="12032" width="9" style="9"/>
    <col min="12033" max="12033" width="21.375" style="9" customWidth="1"/>
    <col min="12034" max="12034" width="11.125" style="9" customWidth="1"/>
    <col min="12035" max="12035" width="10.75" style="9" customWidth="1"/>
    <col min="12036" max="12036" width="9" style="9"/>
    <col min="12037" max="12038" width="8" style="9" customWidth="1"/>
    <col min="12039" max="12039" width="8.875" style="9" bestFit="1" customWidth="1"/>
    <col min="12040" max="12041" width="11.25" style="9" customWidth="1"/>
    <col min="12042" max="12288" width="9" style="9"/>
    <col min="12289" max="12289" width="21.375" style="9" customWidth="1"/>
    <col min="12290" max="12290" width="11.125" style="9" customWidth="1"/>
    <col min="12291" max="12291" width="10.75" style="9" customWidth="1"/>
    <col min="12292" max="12292" width="9" style="9"/>
    <col min="12293" max="12294" width="8" style="9" customWidth="1"/>
    <col min="12295" max="12295" width="8.875" style="9" bestFit="1" customWidth="1"/>
    <col min="12296" max="12297" width="11.25" style="9" customWidth="1"/>
    <col min="12298" max="12544" width="9" style="9"/>
    <col min="12545" max="12545" width="21.375" style="9" customWidth="1"/>
    <col min="12546" max="12546" width="11.125" style="9" customWidth="1"/>
    <col min="12547" max="12547" width="10.75" style="9" customWidth="1"/>
    <col min="12548" max="12548" width="9" style="9"/>
    <col min="12549" max="12550" width="8" style="9" customWidth="1"/>
    <col min="12551" max="12551" width="8.875" style="9" bestFit="1" customWidth="1"/>
    <col min="12552" max="12553" width="11.25" style="9" customWidth="1"/>
    <col min="12554" max="12800" width="9" style="9"/>
    <col min="12801" max="12801" width="21.375" style="9" customWidth="1"/>
    <col min="12802" max="12802" width="11.125" style="9" customWidth="1"/>
    <col min="12803" max="12803" width="10.75" style="9" customWidth="1"/>
    <col min="12804" max="12804" width="9" style="9"/>
    <col min="12805" max="12806" width="8" style="9" customWidth="1"/>
    <col min="12807" max="12807" width="8.875" style="9" bestFit="1" customWidth="1"/>
    <col min="12808" max="12809" width="11.25" style="9" customWidth="1"/>
    <col min="12810" max="13056" width="9" style="9"/>
    <col min="13057" max="13057" width="21.375" style="9" customWidth="1"/>
    <col min="13058" max="13058" width="11.125" style="9" customWidth="1"/>
    <col min="13059" max="13059" width="10.75" style="9" customWidth="1"/>
    <col min="13060" max="13060" width="9" style="9"/>
    <col min="13061" max="13062" width="8" style="9" customWidth="1"/>
    <col min="13063" max="13063" width="8.875" style="9" bestFit="1" customWidth="1"/>
    <col min="13064" max="13065" width="11.25" style="9" customWidth="1"/>
    <col min="13066" max="13312" width="9" style="9"/>
    <col min="13313" max="13313" width="21.375" style="9" customWidth="1"/>
    <col min="13314" max="13314" width="11.125" style="9" customWidth="1"/>
    <col min="13315" max="13315" width="10.75" style="9" customWidth="1"/>
    <col min="13316" max="13316" width="9" style="9"/>
    <col min="13317" max="13318" width="8" style="9" customWidth="1"/>
    <col min="13319" max="13319" width="8.875" style="9" bestFit="1" customWidth="1"/>
    <col min="13320" max="13321" width="11.25" style="9" customWidth="1"/>
    <col min="13322" max="13568" width="9" style="9"/>
    <col min="13569" max="13569" width="21.375" style="9" customWidth="1"/>
    <col min="13570" max="13570" width="11.125" style="9" customWidth="1"/>
    <col min="13571" max="13571" width="10.75" style="9" customWidth="1"/>
    <col min="13572" max="13572" width="9" style="9"/>
    <col min="13573" max="13574" width="8" style="9" customWidth="1"/>
    <col min="13575" max="13575" width="8.875" style="9" bestFit="1" customWidth="1"/>
    <col min="13576" max="13577" width="11.25" style="9" customWidth="1"/>
    <col min="13578" max="13824" width="9" style="9"/>
    <col min="13825" max="13825" width="21.375" style="9" customWidth="1"/>
    <col min="13826" max="13826" width="11.125" style="9" customWidth="1"/>
    <col min="13827" max="13827" width="10.75" style="9" customWidth="1"/>
    <col min="13828" max="13828" width="9" style="9"/>
    <col min="13829" max="13830" width="8" style="9" customWidth="1"/>
    <col min="13831" max="13831" width="8.875" style="9" bestFit="1" customWidth="1"/>
    <col min="13832" max="13833" width="11.25" style="9" customWidth="1"/>
    <col min="13834" max="14080" width="9" style="9"/>
    <col min="14081" max="14081" width="21.375" style="9" customWidth="1"/>
    <col min="14082" max="14082" width="11.125" style="9" customWidth="1"/>
    <col min="14083" max="14083" width="10.75" style="9" customWidth="1"/>
    <col min="14084" max="14084" width="9" style="9"/>
    <col min="14085" max="14086" width="8" style="9" customWidth="1"/>
    <col min="14087" max="14087" width="8.875" style="9" bestFit="1" customWidth="1"/>
    <col min="14088" max="14089" width="11.25" style="9" customWidth="1"/>
    <col min="14090" max="14336" width="9" style="9"/>
    <col min="14337" max="14337" width="21.375" style="9" customWidth="1"/>
    <col min="14338" max="14338" width="11.125" style="9" customWidth="1"/>
    <col min="14339" max="14339" width="10.75" style="9" customWidth="1"/>
    <col min="14340" max="14340" width="9" style="9"/>
    <col min="14341" max="14342" width="8" style="9" customWidth="1"/>
    <col min="14343" max="14343" width="8.875" style="9" bestFit="1" customWidth="1"/>
    <col min="14344" max="14345" width="11.25" style="9" customWidth="1"/>
    <col min="14346" max="14592" width="9" style="9"/>
    <col min="14593" max="14593" width="21.375" style="9" customWidth="1"/>
    <col min="14594" max="14594" width="11.125" style="9" customWidth="1"/>
    <col min="14595" max="14595" width="10.75" style="9" customWidth="1"/>
    <col min="14596" max="14596" width="9" style="9"/>
    <col min="14597" max="14598" width="8" style="9" customWidth="1"/>
    <col min="14599" max="14599" width="8.875" style="9" bestFit="1" customWidth="1"/>
    <col min="14600" max="14601" width="11.25" style="9" customWidth="1"/>
    <col min="14602" max="14848" width="9" style="9"/>
    <col min="14849" max="14849" width="21.375" style="9" customWidth="1"/>
    <col min="14850" max="14850" width="11.125" style="9" customWidth="1"/>
    <col min="14851" max="14851" width="10.75" style="9" customWidth="1"/>
    <col min="14852" max="14852" width="9" style="9"/>
    <col min="14853" max="14854" width="8" style="9" customWidth="1"/>
    <col min="14855" max="14855" width="8.875" style="9" bestFit="1" customWidth="1"/>
    <col min="14856" max="14857" width="11.25" style="9" customWidth="1"/>
    <col min="14858" max="15104" width="9" style="9"/>
    <col min="15105" max="15105" width="21.375" style="9" customWidth="1"/>
    <col min="15106" max="15106" width="11.125" style="9" customWidth="1"/>
    <col min="15107" max="15107" width="10.75" style="9" customWidth="1"/>
    <col min="15108" max="15108" width="9" style="9"/>
    <col min="15109" max="15110" width="8" style="9" customWidth="1"/>
    <col min="15111" max="15111" width="8.875" style="9" bestFit="1" customWidth="1"/>
    <col min="15112" max="15113" width="11.25" style="9" customWidth="1"/>
    <col min="15114" max="15360" width="9" style="9"/>
    <col min="15361" max="15361" width="21.375" style="9" customWidth="1"/>
    <col min="15362" max="15362" width="11.125" style="9" customWidth="1"/>
    <col min="15363" max="15363" width="10.75" style="9" customWidth="1"/>
    <col min="15364" max="15364" width="9" style="9"/>
    <col min="15365" max="15366" width="8" style="9" customWidth="1"/>
    <col min="15367" max="15367" width="8.875" style="9" bestFit="1" customWidth="1"/>
    <col min="15368" max="15369" width="11.25" style="9" customWidth="1"/>
    <col min="15370" max="15616" width="9" style="9"/>
    <col min="15617" max="15617" width="21.375" style="9" customWidth="1"/>
    <col min="15618" max="15618" width="11.125" style="9" customWidth="1"/>
    <col min="15619" max="15619" width="10.75" style="9" customWidth="1"/>
    <col min="15620" max="15620" width="9" style="9"/>
    <col min="15621" max="15622" width="8" style="9" customWidth="1"/>
    <col min="15623" max="15623" width="8.875" style="9" bestFit="1" customWidth="1"/>
    <col min="15624" max="15625" width="11.25" style="9" customWidth="1"/>
    <col min="15626" max="15872" width="9" style="9"/>
    <col min="15873" max="15873" width="21.375" style="9" customWidth="1"/>
    <col min="15874" max="15874" width="11.125" style="9" customWidth="1"/>
    <col min="15875" max="15875" width="10.75" style="9" customWidth="1"/>
    <col min="15876" max="15876" width="9" style="9"/>
    <col min="15877" max="15878" width="8" style="9" customWidth="1"/>
    <col min="15879" max="15879" width="8.875" style="9" bestFit="1" customWidth="1"/>
    <col min="15880" max="15881" width="11.25" style="9" customWidth="1"/>
    <col min="15882" max="16128" width="9" style="9"/>
    <col min="16129" max="16129" width="21.375" style="9" customWidth="1"/>
    <col min="16130" max="16130" width="11.125" style="9" customWidth="1"/>
    <col min="16131" max="16131" width="10.75" style="9" customWidth="1"/>
    <col min="16132" max="16132" width="9" style="9"/>
    <col min="16133" max="16134" width="8" style="9" customWidth="1"/>
    <col min="16135" max="16135" width="8.875" style="9" bestFit="1" customWidth="1"/>
    <col min="16136" max="16137" width="11.25" style="9" customWidth="1"/>
    <col min="16138" max="16384" width="9" style="9"/>
  </cols>
  <sheetData>
    <row r="1" spans="1:19" s="6" customFormat="1" ht="4.5" customHeight="1">
      <c r="B1" s="7" t="s">
        <v>364</v>
      </c>
      <c r="C1" s="7"/>
      <c r="D1" s="7"/>
      <c r="E1" s="7"/>
      <c r="F1" s="7"/>
      <c r="G1" s="7"/>
      <c r="H1" s="7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ht="27.75" customHeight="1">
      <c r="B2" s="7"/>
      <c r="C2" s="7"/>
      <c r="D2" s="7"/>
      <c r="E2" s="7"/>
      <c r="F2" s="7"/>
      <c r="G2" s="7"/>
      <c r="H2" s="7"/>
    </row>
    <row r="3" spans="1:19" ht="19.5" customHeight="1">
      <c r="A3" s="11" t="s">
        <v>365</v>
      </c>
      <c r="C3" s="12"/>
      <c r="D3" s="13"/>
      <c r="E3" s="14"/>
      <c r="F3" s="14"/>
      <c r="G3" s="14"/>
    </row>
    <row r="4" spans="1:19" ht="19.5" customHeight="1">
      <c r="A4" s="11" t="s">
        <v>366</v>
      </c>
      <c r="C4" s="12"/>
      <c r="D4" s="13"/>
      <c r="E4" s="14"/>
      <c r="F4" s="14"/>
      <c r="G4" s="15"/>
      <c r="H4" s="15"/>
      <c r="I4" s="15"/>
    </row>
    <row r="5" spans="1:19" ht="12" customHeight="1" thickBot="1">
      <c r="G5" s="16"/>
      <c r="H5" s="17" t="str">
        <f>"작성일 : "&amp;TEXT(_xlfn.XLOOKUP(B7,near_miss_excel_view!C:C,near_miss_excel_view!D:D,"없음",0,1),"YY-MM-DD")</f>
        <v>작성일 : 26-04-02</v>
      </c>
      <c r="I5" s="17"/>
    </row>
    <row r="6" spans="1:19" s="26" customFormat="1" ht="18.75" customHeight="1">
      <c r="A6" s="18" t="s">
        <v>367</v>
      </c>
      <c r="B6" s="19" t="s">
        <v>368</v>
      </c>
      <c r="C6" s="20"/>
      <c r="D6" s="21" t="s">
        <v>369</v>
      </c>
      <c r="E6" s="22" t="str">
        <f>_xlfn.XLOOKUP(B7,near_miss_excel_view!C:C,near_miss_excel_view!B:B,"없음",0,1)</f>
        <v>장진혁</v>
      </c>
      <c r="F6" s="23"/>
      <c r="G6" s="21" t="s">
        <v>370</v>
      </c>
      <c r="H6" s="22"/>
      <c r="I6" s="24"/>
      <c r="J6" s="25"/>
      <c r="K6" s="25"/>
      <c r="L6" s="25"/>
      <c r="M6" s="25"/>
      <c r="N6" s="25"/>
      <c r="O6" s="25"/>
      <c r="P6" s="25"/>
      <c r="Q6" s="25"/>
      <c r="R6" s="25"/>
      <c r="S6" s="25"/>
    </row>
    <row r="7" spans="1:19" s="26" customFormat="1" ht="18.75" customHeight="1">
      <c r="A7" s="27" t="s">
        <v>371</v>
      </c>
      <c r="B7" s="124" t="s">
        <v>243</v>
      </c>
      <c r="C7" s="125"/>
      <c r="D7" s="125"/>
      <c r="E7" s="125"/>
      <c r="F7" s="125"/>
      <c r="G7" s="125"/>
      <c r="H7" s="125"/>
      <c r="I7" s="126"/>
      <c r="J7" s="25"/>
      <c r="K7" s="25"/>
      <c r="L7" s="25"/>
      <c r="M7" s="25"/>
      <c r="N7" s="25"/>
      <c r="O7" s="25"/>
      <c r="P7" s="25"/>
      <c r="Q7" s="25"/>
      <c r="R7" s="25"/>
      <c r="S7" s="25"/>
    </row>
    <row r="8" spans="1:19" s="26" customFormat="1" ht="4.5" customHeight="1">
      <c r="A8" s="31"/>
      <c r="B8" s="32"/>
      <c r="I8" s="33"/>
      <c r="J8" s="25"/>
      <c r="K8" s="25"/>
      <c r="L8" s="25"/>
      <c r="M8" s="25"/>
      <c r="N8" s="25"/>
      <c r="O8" s="25"/>
      <c r="P8" s="25"/>
      <c r="Q8" s="25"/>
      <c r="R8" s="25"/>
      <c r="S8" s="25"/>
    </row>
    <row r="9" spans="1:19" s="26" customFormat="1" ht="16.5" customHeight="1">
      <c r="A9" s="34" t="s">
        <v>372</v>
      </c>
      <c r="B9" s="35" t="str">
        <f>" 1. 발생 일시 :    "&amp;TEXT(_xlfn.XLOOKUP(B7,near_miss_excel_view!C:C,near_miss_excel_view!D:D,"없음",0,1),"YYYY년 MM월 DD일 hh시 mm분")&amp;" 경"</f>
        <v xml:space="preserve"> 1. 발생 일시 :    2026년 04월 02일 09시 50분 경</v>
      </c>
      <c r="C9" s="36"/>
      <c r="I9" s="33"/>
      <c r="J9" s="25"/>
      <c r="K9" s="25"/>
      <c r="L9" s="25"/>
      <c r="M9" s="25"/>
      <c r="N9" s="25"/>
      <c r="O9" s="25"/>
      <c r="P9" s="25"/>
      <c r="Q9" s="25"/>
      <c r="R9" s="25"/>
      <c r="S9" s="25"/>
    </row>
    <row r="10" spans="1:19" s="26" customFormat="1" ht="16.5" customHeight="1">
      <c r="A10" s="34" t="s">
        <v>373</v>
      </c>
      <c r="B10" s="37" t="str">
        <f>" 2. 발생 장소 :    "&amp;_xlfn.XLOOKUP(B7,near_miss_excel_view!C:C,near_miss_excel_view!E:E,"없음",0,1)</f>
        <v xml:space="preserve"> 2. 발생 장소 :    4호 kiln inlet</v>
      </c>
      <c r="I10" s="33"/>
      <c r="J10" s="25"/>
      <c r="K10" s="25"/>
      <c r="L10" s="25"/>
      <c r="M10" s="25"/>
      <c r="N10" s="25"/>
      <c r="O10" s="25"/>
      <c r="P10" s="25"/>
      <c r="Q10" s="25"/>
      <c r="R10" s="25"/>
      <c r="S10" s="25"/>
    </row>
    <row r="11" spans="1:19" s="26" customFormat="1" ht="16.5" customHeight="1">
      <c r="A11" s="38" t="s">
        <v>374</v>
      </c>
      <c r="B11" s="39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4k inlet 이젝터 청소를 하다 바닥에 나사가 떨어짐, 나사를 찾으려 움직이다 바닥에 넘어질 뻔함
원인: 바닥 근처에 공구가방이 있었는데 나사를 찾으려다 확인하지 못함</v>
      </c>
      <c r="C11" s="40"/>
      <c r="D11" s="40"/>
      <c r="E11" s="40"/>
      <c r="F11" s="40"/>
      <c r="G11" s="40"/>
      <c r="H11" s="40"/>
      <c r="I11" s="41"/>
      <c r="J11" s="25"/>
      <c r="K11" s="25"/>
      <c r="L11" s="25"/>
      <c r="M11" s="25"/>
      <c r="N11" s="25"/>
      <c r="O11" s="25"/>
      <c r="P11" s="25"/>
      <c r="Q11" s="25"/>
      <c r="R11" s="25"/>
      <c r="S11" s="25"/>
    </row>
    <row r="12" spans="1:19" s="26" customFormat="1" ht="16.5" customHeight="1">
      <c r="A12" s="42" t="s">
        <v>375</v>
      </c>
      <c r="B12" s="39"/>
      <c r="C12" s="40"/>
      <c r="D12" s="40"/>
      <c r="E12" s="40"/>
      <c r="F12" s="40"/>
      <c r="G12" s="40"/>
      <c r="H12" s="40"/>
      <c r="I12" s="41"/>
      <c r="J12" s="25"/>
      <c r="K12" s="25"/>
      <c r="L12" s="25"/>
      <c r="M12" s="25"/>
      <c r="N12" s="25"/>
      <c r="O12" s="25"/>
      <c r="P12" s="25"/>
      <c r="Q12" s="25"/>
      <c r="R12" s="25"/>
      <c r="S12" s="25"/>
    </row>
    <row r="13" spans="1:19" s="26" customFormat="1" ht="16.5" customHeight="1">
      <c r="A13" s="42"/>
      <c r="B13" s="39"/>
      <c r="C13" s="40"/>
      <c r="D13" s="40"/>
      <c r="E13" s="40"/>
      <c r="F13" s="40"/>
      <c r="G13" s="40"/>
      <c r="H13" s="40"/>
      <c r="I13" s="41"/>
      <c r="J13" s="25"/>
      <c r="K13" s="25"/>
      <c r="L13" s="25"/>
      <c r="M13" s="25"/>
      <c r="N13" s="25"/>
      <c r="O13" s="25"/>
      <c r="P13" s="25"/>
      <c r="Q13" s="25"/>
      <c r="R13" s="25"/>
      <c r="S13" s="25"/>
    </row>
    <row r="14" spans="1:19" s="26" customFormat="1" ht="16.5" customHeight="1">
      <c r="A14" s="42"/>
      <c r="B14" s="39"/>
      <c r="C14" s="40"/>
      <c r="D14" s="40"/>
      <c r="E14" s="40"/>
      <c r="F14" s="40"/>
      <c r="G14" s="40"/>
      <c r="H14" s="40"/>
      <c r="I14" s="41"/>
      <c r="J14" s="25"/>
      <c r="K14" s="25"/>
      <c r="L14" s="25"/>
      <c r="M14" s="25"/>
      <c r="N14" s="25"/>
      <c r="O14" s="25"/>
      <c r="P14" s="25"/>
      <c r="Q14" s="25"/>
      <c r="R14" s="25"/>
      <c r="S14" s="25"/>
    </row>
    <row r="15" spans="1:19" s="26" customFormat="1" ht="16.5" customHeight="1">
      <c r="A15" s="34"/>
      <c r="B15" s="39"/>
      <c r="C15" s="40"/>
      <c r="D15" s="40"/>
      <c r="E15" s="40"/>
      <c r="F15" s="40"/>
      <c r="G15" s="40"/>
      <c r="H15" s="40"/>
      <c r="I15" s="41"/>
      <c r="J15" s="25"/>
      <c r="K15" s="25"/>
      <c r="L15" s="25"/>
      <c r="M15" s="25"/>
      <c r="N15" s="25"/>
      <c r="O15" s="25"/>
      <c r="P15" s="25"/>
      <c r="Q15" s="25"/>
      <c r="R15" s="25"/>
      <c r="S15" s="25"/>
    </row>
    <row r="16" spans="1:19" s="26" customFormat="1" ht="17.45" customHeight="1" thickBot="1">
      <c r="A16" s="34"/>
      <c r="B16" s="39"/>
      <c r="C16" s="40"/>
      <c r="D16" s="40"/>
      <c r="E16" s="40"/>
      <c r="F16" s="40"/>
      <c r="G16" s="40"/>
      <c r="H16" s="40"/>
      <c r="I16" s="41"/>
      <c r="J16" s="25" t="s">
        <v>376</v>
      </c>
      <c r="K16" s="25"/>
      <c r="L16" s="25" t="s">
        <v>377</v>
      </c>
      <c r="M16" s="25"/>
      <c r="N16" s="25" t="s">
        <v>378</v>
      </c>
      <c r="O16" s="25"/>
      <c r="P16" s="25" t="s">
        <v>379</v>
      </c>
      <c r="Q16" s="25"/>
      <c r="R16" s="25" t="s">
        <v>380</v>
      </c>
      <c r="S16" s="25"/>
    </row>
    <row r="17" spans="1:19" s="26" customFormat="1" ht="16.149999999999999" customHeight="1">
      <c r="A17" s="43" t="s">
        <v>381</v>
      </c>
      <c r="B17" s="44"/>
      <c r="C17" s="44"/>
      <c r="D17" s="44"/>
      <c r="E17" s="44"/>
      <c r="F17" s="44"/>
      <c r="G17" s="44"/>
      <c r="H17" s="44"/>
      <c r="I17" s="45"/>
      <c r="J17" s="25" t="str">
        <f>_xlfn.XLOOKUP(B7,near_miss_excel_view!$C:$C,near_miss_excel_view!H:H,"없음",0,1)</f>
        <v>전도</v>
      </c>
      <c r="K17" s="25"/>
      <c r="L17" s="25" t="str">
        <f>_xlfn.XLOOKUP(B7,near_miss_excel_view!$C:$C,near_miss_excel_view!I:I,"없음",0,1)</f>
        <v>정리정돈</v>
      </c>
      <c r="M17" s="25"/>
      <c r="N17" s="25" t="str">
        <f>_xlfn.XLOOKUP(B7,near_miss_excel_view!$C:$C,near_miss_excel_view!J:J,"없음",0,1)</f>
        <v>불안전한 자세</v>
      </c>
      <c r="O17" s="25"/>
      <c r="P17" s="25" t="str">
        <f>_xlfn.XLOOKUP(B7,near_miss_excel_view!$C:$C,near_miss_excel_view!K:K,"없음",0,1)</f>
        <v>위험경로에 위치함</v>
      </c>
      <c r="Q17" s="25"/>
      <c r="R17" s="25" t="str">
        <f>_xlfn.XLOOKUP(B7,near_miss_excel_view!$C:$C,near_miss_excel_view!L:L,"없음",0,1)</f>
        <v>서두름</v>
      </c>
      <c r="S17" s="25"/>
    </row>
    <row r="18" spans="1:19" s="26" customFormat="1" ht="15.75" customHeight="1">
      <c r="A18" s="46" t="s">
        <v>382</v>
      </c>
      <c r="B18" s="47"/>
      <c r="C18" s="48"/>
      <c r="D18" s="49" t="s">
        <v>383</v>
      </c>
      <c r="E18" s="50"/>
      <c r="F18" s="50"/>
      <c r="G18" s="51"/>
      <c r="H18" s="52"/>
      <c r="I18" s="53"/>
      <c r="J18" s="25"/>
      <c r="K18" s="25"/>
      <c r="L18" s="25"/>
      <c r="M18" s="25"/>
      <c r="N18" s="25"/>
      <c r="O18" s="25"/>
      <c r="P18" s="25"/>
      <c r="Q18" s="25"/>
      <c r="R18" s="25"/>
      <c r="S18" s="25"/>
    </row>
    <row r="19" spans="1:19" s="26" customFormat="1" ht="16.149999999999999" customHeight="1">
      <c r="A19" s="54"/>
      <c r="B19" s="55"/>
      <c r="C19" s="56"/>
      <c r="D19" s="57"/>
      <c r="E19" s="58"/>
      <c r="F19" s="58"/>
      <c r="G19" s="58"/>
      <c r="H19" s="58"/>
      <c r="I19" s="59"/>
      <c r="J19" s="25" t="s">
        <v>384</v>
      </c>
      <c r="K19" s="25" t="b">
        <f t="shared" ref="K19:K36" si="0">IF(J19=$J$17,TRUE,FALSE)</f>
        <v>0</v>
      </c>
      <c r="L19" s="25" t="s">
        <v>168</v>
      </c>
      <c r="M19" s="25" t="b">
        <f>IF($L$17=L19,TRUE,FALSE)</f>
        <v>0</v>
      </c>
      <c r="N19" s="25" t="s">
        <v>385</v>
      </c>
      <c r="O19" s="25" t="b">
        <f t="shared" ref="O19:O25" si="1">IF($N$17=N19,TRUE,FALSE)</f>
        <v>0</v>
      </c>
      <c r="P19" s="25" t="s">
        <v>35</v>
      </c>
      <c r="Q19" s="25" t="b">
        <f>IF($P$17=P19,TRUE,FALSE)</f>
        <v>1</v>
      </c>
      <c r="R19" s="25" t="s">
        <v>36</v>
      </c>
      <c r="S19" s="25" t="b">
        <f>IF($R$17=R19,TRUE,FALSE)</f>
        <v>1</v>
      </c>
    </row>
    <row r="20" spans="1:19" s="26" customFormat="1" ht="16.149999999999999" customHeight="1">
      <c r="A20" s="54"/>
      <c r="B20" s="55"/>
      <c r="C20" s="56"/>
      <c r="D20" s="60"/>
      <c r="E20" s="55"/>
      <c r="F20" s="55"/>
      <c r="G20" s="55"/>
      <c r="H20" s="55"/>
      <c r="I20" s="61"/>
      <c r="J20" s="25" t="s">
        <v>32</v>
      </c>
      <c r="K20" s="25" t="b">
        <f t="shared" si="0"/>
        <v>1</v>
      </c>
      <c r="L20" s="25" t="s">
        <v>386</v>
      </c>
      <c r="M20" s="25" t="b">
        <f>IF($L$17=L20,TRUE,FALSE)</f>
        <v>0</v>
      </c>
      <c r="N20" s="25" t="s">
        <v>387</v>
      </c>
      <c r="O20" s="25" t="b">
        <f t="shared" si="1"/>
        <v>0</v>
      </c>
      <c r="P20" s="25" t="s">
        <v>158</v>
      </c>
      <c r="Q20" s="25" t="b">
        <f>IF($P$17=P20,TRUE,FALSE)</f>
        <v>0</v>
      </c>
      <c r="R20" s="25" t="s">
        <v>388</v>
      </c>
      <c r="S20" s="25" t="b">
        <f>IF($R$17=R20,TRUE,FALSE)</f>
        <v>0</v>
      </c>
    </row>
    <row r="21" spans="1:19" s="26" customFormat="1" ht="16.149999999999999" customHeight="1">
      <c r="A21" s="54"/>
      <c r="B21" s="55"/>
      <c r="C21" s="56"/>
      <c r="D21" s="60"/>
      <c r="E21" s="55"/>
      <c r="F21" s="55"/>
      <c r="G21" s="55"/>
      <c r="H21" s="55"/>
      <c r="I21" s="61"/>
      <c r="J21" s="25" t="s">
        <v>389</v>
      </c>
      <c r="K21" s="25" t="b">
        <f t="shared" si="0"/>
        <v>0</v>
      </c>
      <c r="L21" s="25" t="s">
        <v>390</v>
      </c>
      <c r="M21" s="25" t="b">
        <f>IF($L$17=L21,TRUE,FALSE)</f>
        <v>0</v>
      </c>
      <c r="N21" s="25" t="s">
        <v>391</v>
      </c>
      <c r="O21" s="25" t="b">
        <f t="shared" si="1"/>
        <v>0</v>
      </c>
      <c r="P21" s="25" t="s">
        <v>169</v>
      </c>
      <c r="Q21" s="25" t="b">
        <f>IF($P$17=P21,TRUE,FALSE)</f>
        <v>0</v>
      </c>
      <c r="R21" s="25" t="s">
        <v>392</v>
      </c>
      <c r="S21" s="25" t="b">
        <f>IF($R$17=R21,TRUE,FALSE)</f>
        <v>0</v>
      </c>
    </row>
    <row r="22" spans="1:19" s="26" customFormat="1" ht="16.149999999999999" customHeight="1">
      <c r="A22" s="54"/>
      <c r="B22" s="55"/>
      <c r="C22" s="56"/>
      <c r="D22" s="60"/>
      <c r="E22" s="55"/>
      <c r="F22" s="55"/>
      <c r="G22" s="55"/>
      <c r="H22" s="55"/>
      <c r="I22" s="61"/>
      <c r="J22" s="25" t="s">
        <v>393</v>
      </c>
      <c r="K22" s="25" t="b">
        <f t="shared" si="0"/>
        <v>0</v>
      </c>
      <c r="L22" s="25" t="s">
        <v>394</v>
      </c>
      <c r="M22" s="25" t="b">
        <f t="shared" ref="M22:M36" si="2">IF($L$17=L22,TRUE,FALSE)</f>
        <v>0</v>
      </c>
      <c r="N22" s="25" t="s">
        <v>395</v>
      </c>
      <c r="O22" s="25" t="b">
        <f t="shared" si="1"/>
        <v>0</v>
      </c>
      <c r="P22" s="25" t="s">
        <v>234</v>
      </c>
      <c r="Q22" s="25" t="b">
        <f>IF($P$17=P22,TRUE,FALSE)</f>
        <v>0</v>
      </c>
      <c r="R22" s="25" t="s">
        <v>396</v>
      </c>
      <c r="S22" s="25" t="b">
        <f>IF($R$17=R22,TRUE,FALSE)</f>
        <v>0</v>
      </c>
    </row>
    <row r="23" spans="1:19" s="26" customFormat="1" ht="16.149999999999999" customHeight="1">
      <c r="A23" s="54"/>
      <c r="B23" s="55"/>
      <c r="C23" s="56"/>
      <c r="D23" s="60"/>
      <c r="E23" s="55"/>
      <c r="F23" s="55"/>
      <c r="G23" s="55"/>
      <c r="H23" s="55"/>
      <c r="I23" s="61"/>
      <c r="J23" s="25" t="s">
        <v>397</v>
      </c>
      <c r="K23" s="25" t="b">
        <f t="shared" si="0"/>
        <v>0</v>
      </c>
      <c r="L23" s="25" t="s">
        <v>398</v>
      </c>
      <c r="M23" s="25" t="b">
        <f t="shared" si="2"/>
        <v>0</v>
      </c>
      <c r="N23" s="25" t="s">
        <v>399</v>
      </c>
      <c r="O23" s="25" t="b">
        <f t="shared" si="1"/>
        <v>1</v>
      </c>
      <c r="P23" s="25"/>
      <c r="Q23" s="25"/>
      <c r="R23" s="25"/>
      <c r="S23" s="25"/>
    </row>
    <row r="24" spans="1:19" s="26" customFormat="1" ht="16.149999999999999" customHeight="1">
      <c r="A24" s="54"/>
      <c r="B24" s="55"/>
      <c r="C24" s="56"/>
      <c r="D24" s="60"/>
      <c r="E24" s="55"/>
      <c r="F24" s="55"/>
      <c r="G24" s="55"/>
      <c r="H24" s="55"/>
      <c r="I24" s="61"/>
      <c r="J24" s="25" t="s">
        <v>400</v>
      </c>
      <c r="K24" s="25" t="b">
        <f t="shared" si="0"/>
        <v>0</v>
      </c>
      <c r="L24" s="25" t="s">
        <v>401</v>
      </c>
      <c r="M24" s="25" t="b">
        <f t="shared" si="2"/>
        <v>0</v>
      </c>
      <c r="N24" s="25" t="s">
        <v>233</v>
      </c>
      <c r="O24" s="25" t="b">
        <f t="shared" si="1"/>
        <v>0</v>
      </c>
      <c r="P24" s="25"/>
      <c r="Q24" s="25"/>
      <c r="R24" s="25"/>
      <c r="S24" s="25"/>
    </row>
    <row r="25" spans="1:19" s="26" customFormat="1" ht="16.149999999999999" customHeight="1">
      <c r="A25" s="54"/>
      <c r="B25" s="55"/>
      <c r="C25" s="56"/>
      <c r="D25" s="60"/>
      <c r="E25" s="55"/>
      <c r="F25" s="55"/>
      <c r="G25" s="55"/>
      <c r="H25" s="55"/>
      <c r="I25" s="61"/>
      <c r="J25" s="25" t="s">
        <v>402</v>
      </c>
      <c r="K25" s="25" t="b">
        <f t="shared" si="0"/>
        <v>0</v>
      </c>
      <c r="L25" s="25" t="s">
        <v>403</v>
      </c>
      <c r="M25" s="25" t="b">
        <f t="shared" si="2"/>
        <v>0</v>
      </c>
      <c r="N25" s="25" t="s">
        <v>239</v>
      </c>
      <c r="O25" s="25" t="b">
        <f t="shared" si="1"/>
        <v>0</v>
      </c>
      <c r="P25" s="25"/>
      <c r="Q25" s="25"/>
      <c r="R25" s="25"/>
      <c r="S25" s="25"/>
    </row>
    <row r="26" spans="1:19" s="26" customFormat="1" ht="16.149999999999999" customHeight="1">
      <c r="A26" s="54"/>
      <c r="B26" s="55"/>
      <c r="C26" s="56"/>
      <c r="D26" s="62"/>
      <c r="E26" s="63"/>
      <c r="F26" s="63"/>
      <c r="G26" s="63"/>
      <c r="H26" s="63"/>
      <c r="I26" s="64"/>
      <c r="J26" s="25" t="s">
        <v>232</v>
      </c>
      <c r="K26" s="25" t="b">
        <f t="shared" si="0"/>
        <v>0</v>
      </c>
      <c r="L26" s="25" t="s">
        <v>33</v>
      </c>
      <c r="M26" s="25" t="b">
        <f t="shared" si="2"/>
        <v>0</v>
      </c>
      <c r="N26" s="25" t="s">
        <v>34</v>
      </c>
      <c r="O26" s="25" t="b">
        <f>IF(COUNTIF(N17,"*기타*"),TRUE,FALSE)</f>
        <v>0</v>
      </c>
      <c r="P26" s="25"/>
      <c r="Q26" s="25"/>
      <c r="R26" s="25"/>
      <c r="S26" s="25"/>
    </row>
    <row r="27" spans="1:19" s="26" customFormat="1" ht="15.75" customHeight="1">
      <c r="A27" s="54"/>
      <c r="B27" s="55"/>
      <c r="C27" s="56"/>
      <c r="D27" s="65" t="s">
        <v>404</v>
      </c>
      <c r="E27" s="66"/>
      <c r="F27" s="66"/>
      <c r="G27" s="67"/>
      <c r="H27" s="68"/>
      <c r="I27" s="69"/>
      <c r="J27" s="25" t="s">
        <v>405</v>
      </c>
      <c r="K27" s="25" t="b">
        <f t="shared" si="0"/>
        <v>0</v>
      </c>
      <c r="L27" s="25" t="s">
        <v>406</v>
      </c>
      <c r="M27" s="25" t="b">
        <f t="shared" si="2"/>
        <v>1</v>
      </c>
      <c r="N27" s="25"/>
      <c r="O27" s="25"/>
      <c r="P27" s="25"/>
      <c r="Q27" s="25"/>
      <c r="R27" s="25"/>
      <c r="S27" s="25"/>
    </row>
    <row r="28" spans="1:19" s="26" customFormat="1" ht="16.5" customHeight="1">
      <c r="A28" s="54"/>
      <c r="B28" s="55"/>
      <c r="C28" s="56"/>
      <c r="D28" s="70"/>
      <c r="E28" s="71"/>
      <c r="F28" s="71"/>
      <c r="G28" s="71"/>
      <c r="H28" s="71"/>
      <c r="I28" s="72"/>
      <c r="J28" s="25" t="s">
        <v>407</v>
      </c>
      <c r="K28" s="25" t="b">
        <f t="shared" si="0"/>
        <v>0</v>
      </c>
      <c r="L28" s="25" t="s">
        <v>408</v>
      </c>
      <c r="M28" s="25" t="b">
        <f t="shared" si="2"/>
        <v>0</v>
      </c>
      <c r="N28" s="25"/>
      <c r="O28" s="25"/>
      <c r="P28" s="25"/>
      <c r="Q28" s="25"/>
      <c r="R28" s="25"/>
      <c r="S28" s="25"/>
    </row>
    <row r="29" spans="1:19" s="26" customFormat="1" ht="16.5" customHeight="1">
      <c r="A29" s="54"/>
      <c r="B29" s="55"/>
      <c r="C29" s="56"/>
      <c r="D29" s="73"/>
      <c r="E29" s="74"/>
      <c r="F29" s="74"/>
      <c r="G29" s="74"/>
      <c r="H29" s="74"/>
      <c r="I29" s="75"/>
      <c r="J29" s="25" t="s">
        <v>34</v>
      </c>
      <c r="K29" s="25" t="b">
        <f t="shared" si="0"/>
        <v>0</v>
      </c>
      <c r="L29" s="25" t="s">
        <v>34</v>
      </c>
      <c r="M29" s="25" t="b">
        <f t="shared" si="2"/>
        <v>0</v>
      </c>
      <c r="N29" s="25"/>
      <c r="O29" s="25"/>
      <c r="P29" s="25"/>
      <c r="Q29" s="25"/>
      <c r="R29" s="25"/>
      <c r="S29" s="25"/>
    </row>
    <row r="30" spans="1:19" s="26" customFormat="1" ht="16.5" customHeight="1">
      <c r="A30" s="54"/>
      <c r="B30" s="55"/>
      <c r="C30" s="56"/>
      <c r="D30" s="73"/>
      <c r="E30" s="74"/>
      <c r="F30" s="74"/>
      <c r="G30" s="74"/>
      <c r="H30" s="74"/>
      <c r="I30" s="75"/>
      <c r="J30" s="25" t="s">
        <v>409</v>
      </c>
      <c r="K30" s="25" t="b">
        <f t="shared" si="0"/>
        <v>0</v>
      </c>
      <c r="L30" s="25" t="s">
        <v>410</v>
      </c>
      <c r="M30" s="25" t="b">
        <f t="shared" si="2"/>
        <v>0</v>
      </c>
      <c r="N30" s="25"/>
      <c r="O30" s="25"/>
      <c r="P30" s="25"/>
      <c r="Q30" s="25"/>
      <c r="R30" s="25"/>
      <c r="S30" s="25"/>
    </row>
    <row r="31" spans="1:19" s="26" customFormat="1" ht="16.5" customHeight="1">
      <c r="A31" s="54"/>
      <c r="B31" s="55"/>
      <c r="C31" s="56"/>
      <c r="D31" s="73"/>
      <c r="E31" s="74"/>
      <c r="F31" s="74"/>
      <c r="G31" s="74"/>
      <c r="H31" s="74"/>
      <c r="I31" s="75"/>
      <c r="J31" s="25" t="s">
        <v>411</v>
      </c>
      <c r="K31" s="25" t="b">
        <f t="shared" si="0"/>
        <v>0</v>
      </c>
      <c r="L31" s="25" t="s">
        <v>412</v>
      </c>
      <c r="M31" s="25" t="b">
        <f t="shared" si="2"/>
        <v>0</v>
      </c>
      <c r="N31" s="25"/>
      <c r="O31" s="25"/>
      <c r="P31" s="25"/>
      <c r="Q31" s="25"/>
      <c r="R31" s="25"/>
      <c r="S31" s="25"/>
    </row>
    <row r="32" spans="1:19" s="26" customFormat="1" ht="16.5" customHeight="1">
      <c r="A32" s="54"/>
      <c r="B32" s="55"/>
      <c r="C32" s="56"/>
      <c r="D32" s="73"/>
      <c r="E32" s="74"/>
      <c r="F32" s="74"/>
      <c r="G32" s="74"/>
      <c r="H32" s="74"/>
      <c r="I32" s="75"/>
      <c r="J32" s="25" t="s">
        <v>413</v>
      </c>
      <c r="K32" s="25" t="b">
        <f t="shared" si="0"/>
        <v>0</v>
      </c>
      <c r="L32" s="25" t="s">
        <v>414</v>
      </c>
      <c r="M32" s="25" t="b">
        <f t="shared" si="2"/>
        <v>0</v>
      </c>
      <c r="N32" s="25"/>
      <c r="O32" s="25"/>
      <c r="P32" s="25"/>
      <c r="Q32" s="25"/>
      <c r="R32" s="25"/>
      <c r="S32" s="25"/>
    </row>
    <row r="33" spans="1:19" s="26" customFormat="1" ht="16.5" customHeight="1">
      <c r="A33" s="54"/>
      <c r="B33" s="55"/>
      <c r="C33" s="56"/>
      <c r="D33" s="73"/>
      <c r="E33" s="74"/>
      <c r="F33" s="74"/>
      <c r="G33" s="74"/>
      <c r="H33" s="74"/>
      <c r="I33" s="75"/>
      <c r="J33" s="25" t="s">
        <v>415</v>
      </c>
      <c r="K33" s="25" t="b">
        <f t="shared" si="0"/>
        <v>0</v>
      </c>
      <c r="L33" s="25" t="s">
        <v>240</v>
      </c>
      <c r="M33" s="25" t="b">
        <f t="shared" si="2"/>
        <v>0</v>
      </c>
      <c r="N33" s="25"/>
      <c r="O33" s="25"/>
      <c r="P33" s="25"/>
      <c r="Q33" s="25"/>
      <c r="R33" s="25"/>
      <c r="S33" s="25"/>
    </row>
    <row r="34" spans="1:19" s="26" customFormat="1" ht="16.5" customHeight="1" thickBot="1">
      <c r="A34" s="76"/>
      <c r="B34" s="77"/>
      <c r="C34" s="78"/>
      <c r="D34" s="79"/>
      <c r="E34" s="80"/>
      <c r="F34" s="80"/>
      <c r="G34" s="80"/>
      <c r="H34" s="80"/>
      <c r="I34" s="81"/>
      <c r="J34" s="25" t="s">
        <v>416</v>
      </c>
      <c r="K34" s="25" t="b">
        <f t="shared" si="0"/>
        <v>0</v>
      </c>
      <c r="L34" s="25" t="s">
        <v>417</v>
      </c>
      <c r="M34" s="25" t="b">
        <f t="shared" si="2"/>
        <v>0</v>
      </c>
      <c r="N34" s="25"/>
      <c r="O34" s="25"/>
      <c r="P34" s="25"/>
      <c r="Q34" s="25"/>
      <c r="R34" s="25"/>
      <c r="S34" s="25"/>
    </row>
    <row r="35" spans="1:19" s="26" customFormat="1" ht="16.5" customHeight="1">
      <c r="A35" s="82" t="s">
        <v>418</v>
      </c>
      <c r="B35" s="83" t="s">
        <v>419</v>
      </c>
      <c r="C35" s="84"/>
      <c r="D35" s="84"/>
      <c r="E35" s="84"/>
      <c r="F35" s="84"/>
      <c r="G35" s="84"/>
      <c r="H35" s="85"/>
      <c r="I35" s="33"/>
      <c r="J35" s="25" t="s">
        <v>420</v>
      </c>
      <c r="K35" s="25" t="b">
        <f t="shared" si="0"/>
        <v>0</v>
      </c>
      <c r="L35" s="25" t="s">
        <v>421</v>
      </c>
      <c r="M35" s="25" t="b">
        <f t="shared" si="2"/>
        <v>0</v>
      </c>
      <c r="N35" s="25"/>
      <c r="O35" s="25"/>
      <c r="P35" s="25"/>
      <c r="Q35" s="25"/>
      <c r="R35" s="25"/>
      <c r="S35" s="25"/>
    </row>
    <row r="36" spans="1:19" s="26" customFormat="1" ht="16.5" customHeight="1">
      <c r="A36" s="82" t="s">
        <v>422</v>
      </c>
      <c r="B36" s="86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주변 동선 확인 후 작업</v>
      </c>
      <c r="C36" s="87"/>
      <c r="D36" s="87"/>
      <c r="E36" s="87"/>
      <c r="F36" s="87"/>
      <c r="G36" s="87"/>
      <c r="H36" s="87"/>
      <c r="I36" s="88"/>
      <c r="J36" s="25" t="s">
        <v>423</v>
      </c>
      <c r="K36" s="25" t="b">
        <f t="shared" si="0"/>
        <v>0</v>
      </c>
      <c r="L36" s="25" t="s">
        <v>424</v>
      </c>
      <c r="M36" s="25" t="b">
        <f t="shared" si="2"/>
        <v>0</v>
      </c>
      <c r="N36" s="25"/>
      <c r="O36" s="25"/>
      <c r="P36" s="25"/>
      <c r="Q36" s="25"/>
      <c r="R36" s="25"/>
      <c r="S36" s="25"/>
    </row>
    <row r="37" spans="1:19" s="26" customFormat="1" ht="27.75" customHeight="1">
      <c r="A37" s="82" t="s">
        <v>425</v>
      </c>
      <c r="B37" s="86"/>
      <c r="C37" s="87"/>
      <c r="D37" s="87"/>
      <c r="E37" s="87"/>
      <c r="F37" s="87"/>
      <c r="G37" s="87"/>
      <c r="H37" s="87"/>
      <c r="I37" s="88"/>
      <c r="J37" s="25"/>
      <c r="K37" s="25"/>
      <c r="L37" s="25"/>
      <c r="M37" s="25"/>
      <c r="N37" s="25"/>
      <c r="O37" s="25"/>
      <c r="P37" s="25"/>
      <c r="Q37" s="25"/>
      <c r="R37" s="25"/>
      <c r="S37" s="25"/>
    </row>
    <row r="38" spans="1:19" s="26" customFormat="1" ht="16.5" customHeight="1" thickBot="1">
      <c r="A38" s="89"/>
      <c r="B38" s="90"/>
      <c r="C38" s="91"/>
      <c r="D38" s="91"/>
      <c r="E38" s="91"/>
      <c r="F38" s="91"/>
      <c r="G38" s="91"/>
      <c r="H38" s="91"/>
      <c r="I38" s="92"/>
      <c r="J38" s="25"/>
      <c r="K38" s="25"/>
      <c r="L38" s="25"/>
      <c r="M38" s="25"/>
      <c r="N38" s="25"/>
      <c r="O38" s="25"/>
      <c r="P38" s="25"/>
      <c r="Q38" s="25"/>
      <c r="R38" s="25"/>
      <c r="S38" s="25"/>
    </row>
    <row r="39" spans="1:19" s="26" customFormat="1" ht="18.75" customHeight="1" thickBot="1">
      <c r="A39" s="93" t="s">
        <v>426</v>
      </c>
      <c r="B39" s="94"/>
      <c r="C39" s="94"/>
      <c r="D39" s="94"/>
      <c r="E39" s="94"/>
      <c r="F39" s="94"/>
      <c r="G39" s="94"/>
      <c r="H39" s="94"/>
      <c r="I39" s="95"/>
      <c r="J39" s="25"/>
      <c r="K39" s="25"/>
      <c r="L39" s="25"/>
      <c r="M39" s="25"/>
      <c r="N39" s="25"/>
      <c r="O39" s="25"/>
      <c r="P39" s="25"/>
      <c r="Q39" s="25"/>
      <c r="R39" s="25"/>
      <c r="S39" s="25"/>
    </row>
    <row r="40" spans="1:19" s="26" customFormat="1" ht="18" thickTop="1">
      <c r="A40" s="82" t="s">
        <v>427</v>
      </c>
      <c r="B40" s="83" t="s">
        <v>428</v>
      </c>
      <c r="C40" s="84"/>
      <c r="D40" s="84"/>
      <c r="E40" s="84"/>
      <c r="F40" s="84"/>
      <c r="G40" s="84"/>
      <c r="H40" s="85"/>
      <c r="I40" s="33"/>
      <c r="J40" s="25"/>
      <c r="K40" s="25"/>
      <c r="L40" s="25"/>
      <c r="M40" s="25"/>
      <c r="N40" s="25"/>
      <c r="O40" s="25"/>
      <c r="P40" s="25"/>
      <c r="Q40" s="25"/>
      <c r="R40" s="25"/>
      <c r="S40" s="25"/>
    </row>
    <row r="41" spans="1:19" s="26" customFormat="1">
      <c r="A41" s="96" t="s">
        <v>429</v>
      </c>
      <c r="B41" s="97"/>
      <c r="C41" s="98"/>
      <c r="D41" s="98"/>
      <c r="E41" s="98"/>
      <c r="F41" s="98"/>
      <c r="G41" s="98"/>
      <c r="H41" s="98"/>
      <c r="I41" s="99"/>
      <c r="J41" s="25"/>
      <c r="K41" s="25"/>
      <c r="L41" s="25"/>
      <c r="M41" s="25"/>
      <c r="N41" s="25"/>
      <c r="O41" s="25"/>
      <c r="P41" s="25"/>
      <c r="Q41" s="25"/>
      <c r="R41" s="25"/>
      <c r="S41" s="25"/>
    </row>
    <row r="42" spans="1:19" s="26" customFormat="1" ht="27.75" customHeight="1">
      <c r="A42" s="96" t="s">
        <v>430</v>
      </c>
      <c r="B42" s="97"/>
      <c r="C42" s="98"/>
      <c r="D42" s="98"/>
      <c r="E42" s="98"/>
      <c r="F42" s="98"/>
      <c r="G42" s="98"/>
      <c r="H42" s="98"/>
      <c r="I42" s="99"/>
      <c r="J42" s="25"/>
      <c r="K42" s="25"/>
      <c r="L42" s="25"/>
      <c r="M42" s="25"/>
      <c r="N42" s="25"/>
      <c r="O42" s="25"/>
      <c r="P42" s="25"/>
      <c r="Q42" s="25"/>
      <c r="R42" s="25"/>
      <c r="S42" s="25"/>
    </row>
    <row r="43" spans="1:19" s="26" customFormat="1" ht="18" thickBot="1">
      <c r="A43" s="100"/>
      <c r="B43" s="101"/>
      <c r="C43" s="102"/>
      <c r="D43" s="102"/>
      <c r="E43" s="102"/>
      <c r="F43" s="102"/>
      <c r="G43" s="102"/>
      <c r="H43" s="102"/>
      <c r="I43" s="103"/>
      <c r="J43" s="25"/>
      <c r="K43" s="25"/>
      <c r="L43" s="25"/>
      <c r="M43" s="25"/>
      <c r="N43" s="25"/>
      <c r="O43" s="25"/>
      <c r="P43" s="25"/>
      <c r="Q43" s="25"/>
      <c r="R43" s="25"/>
      <c r="S43" s="25"/>
    </row>
    <row r="44" spans="1:19" s="26" customFormat="1" ht="17.25" customHeight="1" thickBot="1">
      <c r="A44" s="104" t="s">
        <v>431</v>
      </c>
      <c r="B44" s="105" t="s">
        <v>432</v>
      </c>
      <c r="C44" s="106" t="s">
        <v>433</v>
      </c>
      <c r="D44" s="107"/>
      <c r="E44" s="108"/>
      <c r="F44" s="109" t="s">
        <v>434</v>
      </c>
      <c r="G44" s="110"/>
      <c r="H44" s="110"/>
      <c r="I44" s="111"/>
      <c r="J44" s="25"/>
      <c r="K44" s="25"/>
      <c r="L44" s="25"/>
      <c r="M44" s="25"/>
      <c r="N44" s="25"/>
      <c r="O44" s="25"/>
      <c r="P44" s="25"/>
      <c r="Q44" s="25"/>
      <c r="R44" s="25"/>
      <c r="S44" s="25"/>
    </row>
    <row r="45" spans="1:19" s="26" customFormat="1" ht="18.75" customHeight="1" thickBot="1">
      <c r="A45" s="93" t="s">
        <v>435</v>
      </c>
      <c r="B45" s="94"/>
      <c r="C45" s="94"/>
      <c r="D45" s="94"/>
      <c r="E45" s="94"/>
      <c r="F45" s="94"/>
      <c r="G45" s="94"/>
      <c r="H45" s="94"/>
      <c r="I45" s="95"/>
      <c r="J45" s="25"/>
      <c r="K45" s="25"/>
      <c r="L45" s="25"/>
      <c r="M45" s="25"/>
      <c r="N45" s="25"/>
      <c r="O45" s="25"/>
      <c r="P45" s="25"/>
      <c r="Q45" s="25"/>
      <c r="R45" s="25"/>
      <c r="S45" s="25"/>
    </row>
    <row r="46" spans="1:19" s="26" customFormat="1" ht="17.25" customHeight="1" thickTop="1" thickBot="1">
      <c r="A46" s="112" t="s">
        <v>436</v>
      </c>
      <c r="B46" s="113" t="s">
        <v>437</v>
      </c>
      <c r="C46" s="114" t="s">
        <v>433</v>
      </c>
      <c r="D46" s="115"/>
      <c r="E46" s="116"/>
      <c r="F46" s="117"/>
      <c r="G46" s="118"/>
      <c r="H46" s="118"/>
      <c r="I46" s="119"/>
      <c r="J46" s="25"/>
      <c r="K46" s="25"/>
      <c r="L46" s="25"/>
      <c r="M46" s="25"/>
      <c r="N46" s="25"/>
      <c r="O46" s="25"/>
      <c r="P46" s="25"/>
      <c r="Q46" s="25"/>
      <c r="R46" s="25"/>
      <c r="S46" s="25"/>
    </row>
    <row r="47" spans="1:19" s="26" customFormat="1" ht="18.75" thickTop="1" thickBot="1">
      <c r="A47" s="120" t="s">
        <v>438</v>
      </c>
      <c r="B47" s="121"/>
      <c r="C47" s="121"/>
      <c r="D47" s="121"/>
      <c r="E47" s="121"/>
      <c r="F47" s="121"/>
      <c r="G47" s="121"/>
      <c r="H47" s="121"/>
      <c r="I47" s="122"/>
      <c r="J47" s="25"/>
      <c r="K47" s="25"/>
      <c r="L47" s="25"/>
      <c r="M47" s="25"/>
      <c r="N47" s="25"/>
      <c r="O47" s="25"/>
      <c r="P47" s="25"/>
      <c r="Q47" s="25"/>
      <c r="R47" s="25"/>
      <c r="S47" s="25"/>
    </row>
    <row r="48" spans="1:19">
      <c r="A48" s="123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1:H2"/>
    <mergeCell ref="H5:I5"/>
    <mergeCell ref="B6:C6"/>
    <mergeCell ref="E6:F6"/>
    <mergeCell ref="H6:I6"/>
    <mergeCell ref="B7:I7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4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2289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0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1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114300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2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3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38100</xdr:rowOff>
                  </from>
                  <to>
                    <xdr:col>4</xdr:col>
                    <xdr:colOff>400050</xdr:colOff>
                    <xdr:row>32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4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5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180975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6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190500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7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8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9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0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38100</xdr:rowOff>
                  </from>
                  <to>
                    <xdr:col>9</xdr:col>
                    <xdr:colOff>28575</xdr:colOff>
                    <xdr:row>30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1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2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3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4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5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18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6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7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8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9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0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1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2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3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4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5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6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7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8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9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0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514350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1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2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209550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3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171450</xdr:rowOff>
                  </from>
                  <to>
                    <xdr:col>1</xdr:col>
                    <xdr:colOff>695325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4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5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6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7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8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9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133350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0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142875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1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590550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2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171450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3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4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5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6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7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8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133350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9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142875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0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6B5AAE-73F1-4C1A-A69A-2B2986F0A26A}">
          <x14:formula1>
            <xm:f>near_miss_excel_view!$C:$C</xm:f>
          </x14:formula1>
          <xm:sqref>B7:I7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8E1CB-8139-488F-8B88-645016252C69}">
  <sheetPr>
    <tabColor rgb="FFFFFF00"/>
    <pageSetUpPr fitToPage="1"/>
  </sheetPr>
  <dimension ref="A1:S48"/>
  <sheetViews>
    <sheetView showGridLines="0" view="pageBreakPreview" topLeftCell="A10" zoomScale="115" zoomScaleNormal="100" zoomScaleSheetLayoutView="115" workbookViewId="0">
      <selection activeCell="O23" sqref="O23"/>
    </sheetView>
  </sheetViews>
  <sheetFormatPr defaultColWidth="9" defaultRowHeight="17.25"/>
  <cols>
    <col min="1" max="1" width="21.375" style="9" customWidth="1"/>
    <col min="2" max="2" width="11.125" style="9" customWidth="1"/>
    <col min="3" max="3" width="8.625" style="9" customWidth="1"/>
    <col min="4" max="4" width="9" style="9"/>
    <col min="5" max="6" width="8" style="9" customWidth="1"/>
    <col min="7" max="7" width="8.875" style="9" bestFit="1" customWidth="1"/>
    <col min="8" max="8" width="11.25" style="9" customWidth="1"/>
    <col min="9" max="9" width="10.75" style="9" customWidth="1"/>
    <col min="10" max="10" width="10.625" style="10" customWidth="1"/>
    <col min="11" max="11" width="5.25" style="10" customWidth="1"/>
    <col min="12" max="12" width="10.625" style="10" customWidth="1"/>
    <col min="13" max="13" width="5.25" style="10" customWidth="1"/>
    <col min="14" max="14" width="10.625" style="10" customWidth="1"/>
    <col min="15" max="15" width="5.25" style="10" customWidth="1"/>
    <col min="16" max="16" width="15.375" style="10" customWidth="1"/>
    <col min="17" max="17" width="5.25" style="10" customWidth="1"/>
    <col min="18" max="18" width="9" style="10"/>
    <col min="19" max="19" width="5.75" style="10" customWidth="1"/>
    <col min="20" max="256" width="9" style="9"/>
    <col min="257" max="257" width="21.375" style="9" customWidth="1"/>
    <col min="258" max="258" width="11.125" style="9" customWidth="1"/>
    <col min="259" max="259" width="10.75" style="9" customWidth="1"/>
    <col min="260" max="260" width="9" style="9"/>
    <col min="261" max="262" width="8" style="9" customWidth="1"/>
    <col min="263" max="263" width="8.875" style="9" bestFit="1" customWidth="1"/>
    <col min="264" max="265" width="11.25" style="9" customWidth="1"/>
    <col min="266" max="512" width="9" style="9"/>
    <col min="513" max="513" width="21.375" style="9" customWidth="1"/>
    <col min="514" max="514" width="11.125" style="9" customWidth="1"/>
    <col min="515" max="515" width="10.75" style="9" customWidth="1"/>
    <col min="516" max="516" width="9" style="9"/>
    <col min="517" max="518" width="8" style="9" customWidth="1"/>
    <col min="519" max="519" width="8.875" style="9" bestFit="1" customWidth="1"/>
    <col min="520" max="521" width="11.25" style="9" customWidth="1"/>
    <col min="522" max="768" width="9" style="9"/>
    <col min="769" max="769" width="21.375" style="9" customWidth="1"/>
    <col min="770" max="770" width="11.125" style="9" customWidth="1"/>
    <col min="771" max="771" width="10.75" style="9" customWidth="1"/>
    <col min="772" max="772" width="9" style="9"/>
    <col min="773" max="774" width="8" style="9" customWidth="1"/>
    <col min="775" max="775" width="8.875" style="9" bestFit="1" customWidth="1"/>
    <col min="776" max="777" width="11.25" style="9" customWidth="1"/>
    <col min="778" max="1024" width="9" style="9"/>
    <col min="1025" max="1025" width="21.375" style="9" customWidth="1"/>
    <col min="1026" max="1026" width="11.125" style="9" customWidth="1"/>
    <col min="1027" max="1027" width="10.75" style="9" customWidth="1"/>
    <col min="1028" max="1028" width="9" style="9"/>
    <col min="1029" max="1030" width="8" style="9" customWidth="1"/>
    <col min="1031" max="1031" width="8.875" style="9" bestFit="1" customWidth="1"/>
    <col min="1032" max="1033" width="11.25" style="9" customWidth="1"/>
    <col min="1034" max="1280" width="9" style="9"/>
    <col min="1281" max="1281" width="21.375" style="9" customWidth="1"/>
    <col min="1282" max="1282" width="11.125" style="9" customWidth="1"/>
    <col min="1283" max="1283" width="10.75" style="9" customWidth="1"/>
    <col min="1284" max="1284" width="9" style="9"/>
    <col min="1285" max="1286" width="8" style="9" customWidth="1"/>
    <col min="1287" max="1287" width="8.875" style="9" bestFit="1" customWidth="1"/>
    <col min="1288" max="1289" width="11.25" style="9" customWidth="1"/>
    <col min="1290" max="1536" width="9" style="9"/>
    <col min="1537" max="1537" width="21.375" style="9" customWidth="1"/>
    <col min="1538" max="1538" width="11.125" style="9" customWidth="1"/>
    <col min="1539" max="1539" width="10.75" style="9" customWidth="1"/>
    <col min="1540" max="1540" width="9" style="9"/>
    <col min="1541" max="1542" width="8" style="9" customWidth="1"/>
    <col min="1543" max="1543" width="8.875" style="9" bestFit="1" customWidth="1"/>
    <col min="1544" max="1545" width="11.25" style="9" customWidth="1"/>
    <col min="1546" max="1792" width="9" style="9"/>
    <col min="1793" max="1793" width="21.375" style="9" customWidth="1"/>
    <col min="1794" max="1794" width="11.125" style="9" customWidth="1"/>
    <col min="1795" max="1795" width="10.75" style="9" customWidth="1"/>
    <col min="1796" max="1796" width="9" style="9"/>
    <col min="1797" max="1798" width="8" style="9" customWidth="1"/>
    <col min="1799" max="1799" width="8.875" style="9" bestFit="1" customWidth="1"/>
    <col min="1800" max="1801" width="11.25" style="9" customWidth="1"/>
    <col min="1802" max="2048" width="9" style="9"/>
    <col min="2049" max="2049" width="21.375" style="9" customWidth="1"/>
    <col min="2050" max="2050" width="11.125" style="9" customWidth="1"/>
    <col min="2051" max="2051" width="10.75" style="9" customWidth="1"/>
    <col min="2052" max="2052" width="9" style="9"/>
    <col min="2053" max="2054" width="8" style="9" customWidth="1"/>
    <col min="2055" max="2055" width="8.875" style="9" bestFit="1" customWidth="1"/>
    <col min="2056" max="2057" width="11.25" style="9" customWidth="1"/>
    <col min="2058" max="2304" width="9" style="9"/>
    <col min="2305" max="2305" width="21.375" style="9" customWidth="1"/>
    <col min="2306" max="2306" width="11.125" style="9" customWidth="1"/>
    <col min="2307" max="2307" width="10.75" style="9" customWidth="1"/>
    <col min="2308" max="2308" width="9" style="9"/>
    <col min="2309" max="2310" width="8" style="9" customWidth="1"/>
    <col min="2311" max="2311" width="8.875" style="9" bestFit="1" customWidth="1"/>
    <col min="2312" max="2313" width="11.25" style="9" customWidth="1"/>
    <col min="2314" max="2560" width="9" style="9"/>
    <col min="2561" max="2561" width="21.375" style="9" customWidth="1"/>
    <col min="2562" max="2562" width="11.125" style="9" customWidth="1"/>
    <col min="2563" max="2563" width="10.75" style="9" customWidth="1"/>
    <col min="2564" max="2564" width="9" style="9"/>
    <col min="2565" max="2566" width="8" style="9" customWidth="1"/>
    <col min="2567" max="2567" width="8.875" style="9" bestFit="1" customWidth="1"/>
    <col min="2568" max="2569" width="11.25" style="9" customWidth="1"/>
    <col min="2570" max="2816" width="9" style="9"/>
    <col min="2817" max="2817" width="21.375" style="9" customWidth="1"/>
    <col min="2818" max="2818" width="11.125" style="9" customWidth="1"/>
    <col min="2819" max="2819" width="10.75" style="9" customWidth="1"/>
    <col min="2820" max="2820" width="9" style="9"/>
    <col min="2821" max="2822" width="8" style="9" customWidth="1"/>
    <col min="2823" max="2823" width="8.875" style="9" bestFit="1" customWidth="1"/>
    <col min="2824" max="2825" width="11.25" style="9" customWidth="1"/>
    <col min="2826" max="3072" width="9" style="9"/>
    <col min="3073" max="3073" width="21.375" style="9" customWidth="1"/>
    <col min="3074" max="3074" width="11.125" style="9" customWidth="1"/>
    <col min="3075" max="3075" width="10.75" style="9" customWidth="1"/>
    <col min="3076" max="3076" width="9" style="9"/>
    <col min="3077" max="3078" width="8" style="9" customWidth="1"/>
    <col min="3079" max="3079" width="8.875" style="9" bestFit="1" customWidth="1"/>
    <col min="3080" max="3081" width="11.25" style="9" customWidth="1"/>
    <col min="3082" max="3328" width="9" style="9"/>
    <col min="3329" max="3329" width="21.375" style="9" customWidth="1"/>
    <col min="3330" max="3330" width="11.125" style="9" customWidth="1"/>
    <col min="3331" max="3331" width="10.75" style="9" customWidth="1"/>
    <col min="3332" max="3332" width="9" style="9"/>
    <col min="3333" max="3334" width="8" style="9" customWidth="1"/>
    <col min="3335" max="3335" width="8.875" style="9" bestFit="1" customWidth="1"/>
    <col min="3336" max="3337" width="11.25" style="9" customWidth="1"/>
    <col min="3338" max="3584" width="9" style="9"/>
    <col min="3585" max="3585" width="21.375" style="9" customWidth="1"/>
    <col min="3586" max="3586" width="11.125" style="9" customWidth="1"/>
    <col min="3587" max="3587" width="10.75" style="9" customWidth="1"/>
    <col min="3588" max="3588" width="9" style="9"/>
    <col min="3589" max="3590" width="8" style="9" customWidth="1"/>
    <col min="3591" max="3591" width="8.875" style="9" bestFit="1" customWidth="1"/>
    <col min="3592" max="3593" width="11.25" style="9" customWidth="1"/>
    <col min="3594" max="3840" width="9" style="9"/>
    <col min="3841" max="3841" width="21.375" style="9" customWidth="1"/>
    <col min="3842" max="3842" width="11.125" style="9" customWidth="1"/>
    <col min="3843" max="3843" width="10.75" style="9" customWidth="1"/>
    <col min="3844" max="3844" width="9" style="9"/>
    <col min="3845" max="3846" width="8" style="9" customWidth="1"/>
    <col min="3847" max="3847" width="8.875" style="9" bestFit="1" customWidth="1"/>
    <col min="3848" max="3849" width="11.25" style="9" customWidth="1"/>
    <col min="3850" max="4096" width="9" style="9"/>
    <col min="4097" max="4097" width="21.375" style="9" customWidth="1"/>
    <col min="4098" max="4098" width="11.125" style="9" customWidth="1"/>
    <col min="4099" max="4099" width="10.75" style="9" customWidth="1"/>
    <col min="4100" max="4100" width="9" style="9"/>
    <col min="4101" max="4102" width="8" style="9" customWidth="1"/>
    <col min="4103" max="4103" width="8.875" style="9" bestFit="1" customWidth="1"/>
    <col min="4104" max="4105" width="11.25" style="9" customWidth="1"/>
    <col min="4106" max="4352" width="9" style="9"/>
    <col min="4353" max="4353" width="21.375" style="9" customWidth="1"/>
    <col min="4354" max="4354" width="11.125" style="9" customWidth="1"/>
    <col min="4355" max="4355" width="10.75" style="9" customWidth="1"/>
    <col min="4356" max="4356" width="9" style="9"/>
    <col min="4357" max="4358" width="8" style="9" customWidth="1"/>
    <col min="4359" max="4359" width="8.875" style="9" bestFit="1" customWidth="1"/>
    <col min="4360" max="4361" width="11.25" style="9" customWidth="1"/>
    <col min="4362" max="4608" width="9" style="9"/>
    <col min="4609" max="4609" width="21.375" style="9" customWidth="1"/>
    <col min="4610" max="4610" width="11.125" style="9" customWidth="1"/>
    <col min="4611" max="4611" width="10.75" style="9" customWidth="1"/>
    <col min="4612" max="4612" width="9" style="9"/>
    <col min="4613" max="4614" width="8" style="9" customWidth="1"/>
    <col min="4615" max="4615" width="8.875" style="9" bestFit="1" customWidth="1"/>
    <col min="4616" max="4617" width="11.25" style="9" customWidth="1"/>
    <col min="4618" max="4864" width="9" style="9"/>
    <col min="4865" max="4865" width="21.375" style="9" customWidth="1"/>
    <col min="4866" max="4866" width="11.125" style="9" customWidth="1"/>
    <col min="4867" max="4867" width="10.75" style="9" customWidth="1"/>
    <col min="4868" max="4868" width="9" style="9"/>
    <col min="4869" max="4870" width="8" style="9" customWidth="1"/>
    <col min="4871" max="4871" width="8.875" style="9" bestFit="1" customWidth="1"/>
    <col min="4872" max="4873" width="11.25" style="9" customWidth="1"/>
    <col min="4874" max="5120" width="9" style="9"/>
    <col min="5121" max="5121" width="21.375" style="9" customWidth="1"/>
    <col min="5122" max="5122" width="11.125" style="9" customWidth="1"/>
    <col min="5123" max="5123" width="10.75" style="9" customWidth="1"/>
    <col min="5124" max="5124" width="9" style="9"/>
    <col min="5125" max="5126" width="8" style="9" customWidth="1"/>
    <col min="5127" max="5127" width="8.875" style="9" bestFit="1" customWidth="1"/>
    <col min="5128" max="5129" width="11.25" style="9" customWidth="1"/>
    <col min="5130" max="5376" width="9" style="9"/>
    <col min="5377" max="5377" width="21.375" style="9" customWidth="1"/>
    <col min="5378" max="5378" width="11.125" style="9" customWidth="1"/>
    <col min="5379" max="5379" width="10.75" style="9" customWidth="1"/>
    <col min="5380" max="5380" width="9" style="9"/>
    <col min="5381" max="5382" width="8" style="9" customWidth="1"/>
    <col min="5383" max="5383" width="8.875" style="9" bestFit="1" customWidth="1"/>
    <col min="5384" max="5385" width="11.25" style="9" customWidth="1"/>
    <col min="5386" max="5632" width="9" style="9"/>
    <col min="5633" max="5633" width="21.375" style="9" customWidth="1"/>
    <col min="5634" max="5634" width="11.125" style="9" customWidth="1"/>
    <col min="5635" max="5635" width="10.75" style="9" customWidth="1"/>
    <col min="5636" max="5636" width="9" style="9"/>
    <col min="5637" max="5638" width="8" style="9" customWidth="1"/>
    <col min="5639" max="5639" width="8.875" style="9" bestFit="1" customWidth="1"/>
    <col min="5640" max="5641" width="11.25" style="9" customWidth="1"/>
    <col min="5642" max="5888" width="9" style="9"/>
    <col min="5889" max="5889" width="21.375" style="9" customWidth="1"/>
    <col min="5890" max="5890" width="11.125" style="9" customWidth="1"/>
    <col min="5891" max="5891" width="10.75" style="9" customWidth="1"/>
    <col min="5892" max="5892" width="9" style="9"/>
    <col min="5893" max="5894" width="8" style="9" customWidth="1"/>
    <col min="5895" max="5895" width="8.875" style="9" bestFit="1" customWidth="1"/>
    <col min="5896" max="5897" width="11.25" style="9" customWidth="1"/>
    <col min="5898" max="6144" width="9" style="9"/>
    <col min="6145" max="6145" width="21.375" style="9" customWidth="1"/>
    <col min="6146" max="6146" width="11.125" style="9" customWidth="1"/>
    <col min="6147" max="6147" width="10.75" style="9" customWidth="1"/>
    <col min="6148" max="6148" width="9" style="9"/>
    <col min="6149" max="6150" width="8" style="9" customWidth="1"/>
    <col min="6151" max="6151" width="8.875" style="9" bestFit="1" customWidth="1"/>
    <col min="6152" max="6153" width="11.25" style="9" customWidth="1"/>
    <col min="6154" max="6400" width="9" style="9"/>
    <col min="6401" max="6401" width="21.375" style="9" customWidth="1"/>
    <col min="6402" max="6402" width="11.125" style="9" customWidth="1"/>
    <col min="6403" max="6403" width="10.75" style="9" customWidth="1"/>
    <col min="6404" max="6404" width="9" style="9"/>
    <col min="6405" max="6406" width="8" style="9" customWidth="1"/>
    <col min="6407" max="6407" width="8.875" style="9" bestFit="1" customWidth="1"/>
    <col min="6408" max="6409" width="11.25" style="9" customWidth="1"/>
    <col min="6410" max="6656" width="9" style="9"/>
    <col min="6657" max="6657" width="21.375" style="9" customWidth="1"/>
    <col min="6658" max="6658" width="11.125" style="9" customWidth="1"/>
    <col min="6659" max="6659" width="10.75" style="9" customWidth="1"/>
    <col min="6660" max="6660" width="9" style="9"/>
    <col min="6661" max="6662" width="8" style="9" customWidth="1"/>
    <col min="6663" max="6663" width="8.875" style="9" bestFit="1" customWidth="1"/>
    <col min="6664" max="6665" width="11.25" style="9" customWidth="1"/>
    <col min="6666" max="6912" width="9" style="9"/>
    <col min="6913" max="6913" width="21.375" style="9" customWidth="1"/>
    <col min="6914" max="6914" width="11.125" style="9" customWidth="1"/>
    <col min="6915" max="6915" width="10.75" style="9" customWidth="1"/>
    <col min="6916" max="6916" width="9" style="9"/>
    <col min="6917" max="6918" width="8" style="9" customWidth="1"/>
    <col min="6919" max="6919" width="8.875" style="9" bestFit="1" customWidth="1"/>
    <col min="6920" max="6921" width="11.25" style="9" customWidth="1"/>
    <col min="6922" max="7168" width="9" style="9"/>
    <col min="7169" max="7169" width="21.375" style="9" customWidth="1"/>
    <col min="7170" max="7170" width="11.125" style="9" customWidth="1"/>
    <col min="7171" max="7171" width="10.75" style="9" customWidth="1"/>
    <col min="7172" max="7172" width="9" style="9"/>
    <col min="7173" max="7174" width="8" style="9" customWidth="1"/>
    <col min="7175" max="7175" width="8.875" style="9" bestFit="1" customWidth="1"/>
    <col min="7176" max="7177" width="11.25" style="9" customWidth="1"/>
    <col min="7178" max="7424" width="9" style="9"/>
    <col min="7425" max="7425" width="21.375" style="9" customWidth="1"/>
    <col min="7426" max="7426" width="11.125" style="9" customWidth="1"/>
    <col min="7427" max="7427" width="10.75" style="9" customWidth="1"/>
    <col min="7428" max="7428" width="9" style="9"/>
    <col min="7429" max="7430" width="8" style="9" customWidth="1"/>
    <col min="7431" max="7431" width="8.875" style="9" bestFit="1" customWidth="1"/>
    <col min="7432" max="7433" width="11.25" style="9" customWidth="1"/>
    <col min="7434" max="7680" width="9" style="9"/>
    <col min="7681" max="7681" width="21.375" style="9" customWidth="1"/>
    <col min="7682" max="7682" width="11.125" style="9" customWidth="1"/>
    <col min="7683" max="7683" width="10.75" style="9" customWidth="1"/>
    <col min="7684" max="7684" width="9" style="9"/>
    <col min="7685" max="7686" width="8" style="9" customWidth="1"/>
    <col min="7687" max="7687" width="8.875" style="9" bestFit="1" customWidth="1"/>
    <col min="7688" max="7689" width="11.25" style="9" customWidth="1"/>
    <col min="7690" max="7936" width="9" style="9"/>
    <col min="7937" max="7937" width="21.375" style="9" customWidth="1"/>
    <col min="7938" max="7938" width="11.125" style="9" customWidth="1"/>
    <col min="7939" max="7939" width="10.75" style="9" customWidth="1"/>
    <col min="7940" max="7940" width="9" style="9"/>
    <col min="7941" max="7942" width="8" style="9" customWidth="1"/>
    <col min="7943" max="7943" width="8.875" style="9" bestFit="1" customWidth="1"/>
    <col min="7944" max="7945" width="11.25" style="9" customWidth="1"/>
    <col min="7946" max="8192" width="9" style="9"/>
    <col min="8193" max="8193" width="21.375" style="9" customWidth="1"/>
    <col min="8194" max="8194" width="11.125" style="9" customWidth="1"/>
    <col min="8195" max="8195" width="10.75" style="9" customWidth="1"/>
    <col min="8196" max="8196" width="9" style="9"/>
    <col min="8197" max="8198" width="8" style="9" customWidth="1"/>
    <col min="8199" max="8199" width="8.875" style="9" bestFit="1" customWidth="1"/>
    <col min="8200" max="8201" width="11.25" style="9" customWidth="1"/>
    <col min="8202" max="8448" width="9" style="9"/>
    <col min="8449" max="8449" width="21.375" style="9" customWidth="1"/>
    <col min="8450" max="8450" width="11.125" style="9" customWidth="1"/>
    <col min="8451" max="8451" width="10.75" style="9" customWidth="1"/>
    <col min="8452" max="8452" width="9" style="9"/>
    <col min="8453" max="8454" width="8" style="9" customWidth="1"/>
    <col min="8455" max="8455" width="8.875" style="9" bestFit="1" customWidth="1"/>
    <col min="8456" max="8457" width="11.25" style="9" customWidth="1"/>
    <col min="8458" max="8704" width="9" style="9"/>
    <col min="8705" max="8705" width="21.375" style="9" customWidth="1"/>
    <col min="8706" max="8706" width="11.125" style="9" customWidth="1"/>
    <col min="8707" max="8707" width="10.75" style="9" customWidth="1"/>
    <col min="8708" max="8708" width="9" style="9"/>
    <col min="8709" max="8710" width="8" style="9" customWidth="1"/>
    <col min="8711" max="8711" width="8.875" style="9" bestFit="1" customWidth="1"/>
    <col min="8712" max="8713" width="11.25" style="9" customWidth="1"/>
    <col min="8714" max="8960" width="9" style="9"/>
    <col min="8961" max="8961" width="21.375" style="9" customWidth="1"/>
    <col min="8962" max="8962" width="11.125" style="9" customWidth="1"/>
    <col min="8963" max="8963" width="10.75" style="9" customWidth="1"/>
    <col min="8964" max="8964" width="9" style="9"/>
    <col min="8965" max="8966" width="8" style="9" customWidth="1"/>
    <col min="8967" max="8967" width="8.875" style="9" bestFit="1" customWidth="1"/>
    <col min="8968" max="8969" width="11.25" style="9" customWidth="1"/>
    <col min="8970" max="9216" width="9" style="9"/>
    <col min="9217" max="9217" width="21.375" style="9" customWidth="1"/>
    <col min="9218" max="9218" width="11.125" style="9" customWidth="1"/>
    <col min="9219" max="9219" width="10.75" style="9" customWidth="1"/>
    <col min="9220" max="9220" width="9" style="9"/>
    <col min="9221" max="9222" width="8" style="9" customWidth="1"/>
    <col min="9223" max="9223" width="8.875" style="9" bestFit="1" customWidth="1"/>
    <col min="9224" max="9225" width="11.25" style="9" customWidth="1"/>
    <col min="9226" max="9472" width="9" style="9"/>
    <col min="9473" max="9473" width="21.375" style="9" customWidth="1"/>
    <col min="9474" max="9474" width="11.125" style="9" customWidth="1"/>
    <col min="9475" max="9475" width="10.75" style="9" customWidth="1"/>
    <col min="9476" max="9476" width="9" style="9"/>
    <col min="9477" max="9478" width="8" style="9" customWidth="1"/>
    <col min="9479" max="9479" width="8.875" style="9" bestFit="1" customWidth="1"/>
    <col min="9480" max="9481" width="11.25" style="9" customWidth="1"/>
    <col min="9482" max="9728" width="9" style="9"/>
    <col min="9729" max="9729" width="21.375" style="9" customWidth="1"/>
    <col min="9730" max="9730" width="11.125" style="9" customWidth="1"/>
    <col min="9731" max="9731" width="10.75" style="9" customWidth="1"/>
    <col min="9732" max="9732" width="9" style="9"/>
    <col min="9733" max="9734" width="8" style="9" customWidth="1"/>
    <col min="9735" max="9735" width="8.875" style="9" bestFit="1" customWidth="1"/>
    <col min="9736" max="9737" width="11.25" style="9" customWidth="1"/>
    <col min="9738" max="9984" width="9" style="9"/>
    <col min="9985" max="9985" width="21.375" style="9" customWidth="1"/>
    <col min="9986" max="9986" width="11.125" style="9" customWidth="1"/>
    <col min="9987" max="9987" width="10.75" style="9" customWidth="1"/>
    <col min="9988" max="9988" width="9" style="9"/>
    <col min="9989" max="9990" width="8" style="9" customWidth="1"/>
    <col min="9991" max="9991" width="8.875" style="9" bestFit="1" customWidth="1"/>
    <col min="9992" max="9993" width="11.25" style="9" customWidth="1"/>
    <col min="9994" max="10240" width="9" style="9"/>
    <col min="10241" max="10241" width="21.375" style="9" customWidth="1"/>
    <col min="10242" max="10242" width="11.125" style="9" customWidth="1"/>
    <col min="10243" max="10243" width="10.75" style="9" customWidth="1"/>
    <col min="10244" max="10244" width="9" style="9"/>
    <col min="10245" max="10246" width="8" style="9" customWidth="1"/>
    <col min="10247" max="10247" width="8.875" style="9" bestFit="1" customWidth="1"/>
    <col min="10248" max="10249" width="11.25" style="9" customWidth="1"/>
    <col min="10250" max="10496" width="9" style="9"/>
    <col min="10497" max="10497" width="21.375" style="9" customWidth="1"/>
    <col min="10498" max="10498" width="11.125" style="9" customWidth="1"/>
    <col min="10499" max="10499" width="10.75" style="9" customWidth="1"/>
    <col min="10500" max="10500" width="9" style="9"/>
    <col min="10501" max="10502" width="8" style="9" customWidth="1"/>
    <col min="10503" max="10503" width="8.875" style="9" bestFit="1" customWidth="1"/>
    <col min="10504" max="10505" width="11.25" style="9" customWidth="1"/>
    <col min="10506" max="10752" width="9" style="9"/>
    <col min="10753" max="10753" width="21.375" style="9" customWidth="1"/>
    <col min="10754" max="10754" width="11.125" style="9" customWidth="1"/>
    <col min="10755" max="10755" width="10.75" style="9" customWidth="1"/>
    <col min="10756" max="10756" width="9" style="9"/>
    <col min="10757" max="10758" width="8" style="9" customWidth="1"/>
    <col min="10759" max="10759" width="8.875" style="9" bestFit="1" customWidth="1"/>
    <col min="10760" max="10761" width="11.25" style="9" customWidth="1"/>
    <col min="10762" max="11008" width="9" style="9"/>
    <col min="11009" max="11009" width="21.375" style="9" customWidth="1"/>
    <col min="11010" max="11010" width="11.125" style="9" customWidth="1"/>
    <col min="11011" max="11011" width="10.75" style="9" customWidth="1"/>
    <col min="11012" max="11012" width="9" style="9"/>
    <col min="11013" max="11014" width="8" style="9" customWidth="1"/>
    <col min="11015" max="11015" width="8.875" style="9" bestFit="1" customWidth="1"/>
    <col min="11016" max="11017" width="11.25" style="9" customWidth="1"/>
    <col min="11018" max="11264" width="9" style="9"/>
    <col min="11265" max="11265" width="21.375" style="9" customWidth="1"/>
    <col min="11266" max="11266" width="11.125" style="9" customWidth="1"/>
    <col min="11267" max="11267" width="10.75" style="9" customWidth="1"/>
    <col min="11268" max="11268" width="9" style="9"/>
    <col min="11269" max="11270" width="8" style="9" customWidth="1"/>
    <col min="11271" max="11271" width="8.875" style="9" bestFit="1" customWidth="1"/>
    <col min="11272" max="11273" width="11.25" style="9" customWidth="1"/>
    <col min="11274" max="11520" width="9" style="9"/>
    <col min="11521" max="11521" width="21.375" style="9" customWidth="1"/>
    <col min="11522" max="11522" width="11.125" style="9" customWidth="1"/>
    <col min="11523" max="11523" width="10.75" style="9" customWidth="1"/>
    <col min="11524" max="11524" width="9" style="9"/>
    <col min="11525" max="11526" width="8" style="9" customWidth="1"/>
    <col min="11527" max="11527" width="8.875" style="9" bestFit="1" customWidth="1"/>
    <col min="11528" max="11529" width="11.25" style="9" customWidth="1"/>
    <col min="11530" max="11776" width="9" style="9"/>
    <col min="11777" max="11777" width="21.375" style="9" customWidth="1"/>
    <col min="11778" max="11778" width="11.125" style="9" customWidth="1"/>
    <col min="11779" max="11779" width="10.75" style="9" customWidth="1"/>
    <col min="11780" max="11780" width="9" style="9"/>
    <col min="11781" max="11782" width="8" style="9" customWidth="1"/>
    <col min="11783" max="11783" width="8.875" style="9" bestFit="1" customWidth="1"/>
    <col min="11784" max="11785" width="11.25" style="9" customWidth="1"/>
    <col min="11786" max="12032" width="9" style="9"/>
    <col min="12033" max="12033" width="21.375" style="9" customWidth="1"/>
    <col min="12034" max="12034" width="11.125" style="9" customWidth="1"/>
    <col min="12035" max="12035" width="10.75" style="9" customWidth="1"/>
    <col min="12036" max="12036" width="9" style="9"/>
    <col min="12037" max="12038" width="8" style="9" customWidth="1"/>
    <col min="12039" max="12039" width="8.875" style="9" bestFit="1" customWidth="1"/>
    <col min="12040" max="12041" width="11.25" style="9" customWidth="1"/>
    <col min="12042" max="12288" width="9" style="9"/>
    <col min="12289" max="12289" width="21.375" style="9" customWidth="1"/>
    <col min="12290" max="12290" width="11.125" style="9" customWidth="1"/>
    <col min="12291" max="12291" width="10.75" style="9" customWidth="1"/>
    <col min="12292" max="12292" width="9" style="9"/>
    <col min="12293" max="12294" width="8" style="9" customWidth="1"/>
    <col min="12295" max="12295" width="8.875" style="9" bestFit="1" customWidth="1"/>
    <col min="12296" max="12297" width="11.25" style="9" customWidth="1"/>
    <col min="12298" max="12544" width="9" style="9"/>
    <col min="12545" max="12545" width="21.375" style="9" customWidth="1"/>
    <col min="12546" max="12546" width="11.125" style="9" customWidth="1"/>
    <col min="12547" max="12547" width="10.75" style="9" customWidth="1"/>
    <col min="12548" max="12548" width="9" style="9"/>
    <col min="12549" max="12550" width="8" style="9" customWidth="1"/>
    <col min="12551" max="12551" width="8.875" style="9" bestFit="1" customWidth="1"/>
    <col min="12552" max="12553" width="11.25" style="9" customWidth="1"/>
    <col min="12554" max="12800" width="9" style="9"/>
    <col min="12801" max="12801" width="21.375" style="9" customWidth="1"/>
    <col min="12802" max="12802" width="11.125" style="9" customWidth="1"/>
    <col min="12803" max="12803" width="10.75" style="9" customWidth="1"/>
    <col min="12804" max="12804" width="9" style="9"/>
    <col min="12805" max="12806" width="8" style="9" customWidth="1"/>
    <col min="12807" max="12807" width="8.875" style="9" bestFit="1" customWidth="1"/>
    <col min="12808" max="12809" width="11.25" style="9" customWidth="1"/>
    <col min="12810" max="13056" width="9" style="9"/>
    <col min="13057" max="13057" width="21.375" style="9" customWidth="1"/>
    <col min="13058" max="13058" width="11.125" style="9" customWidth="1"/>
    <col min="13059" max="13059" width="10.75" style="9" customWidth="1"/>
    <col min="13060" max="13060" width="9" style="9"/>
    <col min="13061" max="13062" width="8" style="9" customWidth="1"/>
    <col min="13063" max="13063" width="8.875" style="9" bestFit="1" customWidth="1"/>
    <col min="13064" max="13065" width="11.25" style="9" customWidth="1"/>
    <col min="13066" max="13312" width="9" style="9"/>
    <col min="13313" max="13313" width="21.375" style="9" customWidth="1"/>
    <col min="13314" max="13314" width="11.125" style="9" customWidth="1"/>
    <col min="13315" max="13315" width="10.75" style="9" customWidth="1"/>
    <col min="13316" max="13316" width="9" style="9"/>
    <col min="13317" max="13318" width="8" style="9" customWidth="1"/>
    <col min="13319" max="13319" width="8.875" style="9" bestFit="1" customWidth="1"/>
    <col min="13320" max="13321" width="11.25" style="9" customWidth="1"/>
    <col min="13322" max="13568" width="9" style="9"/>
    <col min="13569" max="13569" width="21.375" style="9" customWidth="1"/>
    <col min="13570" max="13570" width="11.125" style="9" customWidth="1"/>
    <col min="13571" max="13571" width="10.75" style="9" customWidth="1"/>
    <col min="13572" max="13572" width="9" style="9"/>
    <col min="13573" max="13574" width="8" style="9" customWidth="1"/>
    <col min="13575" max="13575" width="8.875" style="9" bestFit="1" customWidth="1"/>
    <col min="13576" max="13577" width="11.25" style="9" customWidth="1"/>
    <col min="13578" max="13824" width="9" style="9"/>
    <col min="13825" max="13825" width="21.375" style="9" customWidth="1"/>
    <col min="13826" max="13826" width="11.125" style="9" customWidth="1"/>
    <col min="13827" max="13827" width="10.75" style="9" customWidth="1"/>
    <col min="13828" max="13828" width="9" style="9"/>
    <col min="13829" max="13830" width="8" style="9" customWidth="1"/>
    <col min="13831" max="13831" width="8.875" style="9" bestFit="1" customWidth="1"/>
    <col min="13832" max="13833" width="11.25" style="9" customWidth="1"/>
    <col min="13834" max="14080" width="9" style="9"/>
    <col min="14081" max="14081" width="21.375" style="9" customWidth="1"/>
    <col min="14082" max="14082" width="11.125" style="9" customWidth="1"/>
    <col min="14083" max="14083" width="10.75" style="9" customWidth="1"/>
    <col min="14084" max="14084" width="9" style="9"/>
    <col min="14085" max="14086" width="8" style="9" customWidth="1"/>
    <col min="14087" max="14087" width="8.875" style="9" bestFit="1" customWidth="1"/>
    <col min="14088" max="14089" width="11.25" style="9" customWidth="1"/>
    <col min="14090" max="14336" width="9" style="9"/>
    <col min="14337" max="14337" width="21.375" style="9" customWidth="1"/>
    <col min="14338" max="14338" width="11.125" style="9" customWidth="1"/>
    <col min="14339" max="14339" width="10.75" style="9" customWidth="1"/>
    <col min="14340" max="14340" width="9" style="9"/>
    <col min="14341" max="14342" width="8" style="9" customWidth="1"/>
    <col min="14343" max="14343" width="8.875" style="9" bestFit="1" customWidth="1"/>
    <col min="14344" max="14345" width="11.25" style="9" customWidth="1"/>
    <col min="14346" max="14592" width="9" style="9"/>
    <col min="14593" max="14593" width="21.375" style="9" customWidth="1"/>
    <col min="14594" max="14594" width="11.125" style="9" customWidth="1"/>
    <col min="14595" max="14595" width="10.75" style="9" customWidth="1"/>
    <col min="14596" max="14596" width="9" style="9"/>
    <col min="14597" max="14598" width="8" style="9" customWidth="1"/>
    <col min="14599" max="14599" width="8.875" style="9" bestFit="1" customWidth="1"/>
    <col min="14600" max="14601" width="11.25" style="9" customWidth="1"/>
    <col min="14602" max="14848" width="9" style="9"/>
    <col min="14849" max="14849" width="21.375" style="9" customWidth="1"/>
    <col min="14850" max="14850" width="11.125" style="9" customWidth="1"/>
    <col min="14851" max="14851" width="10.75" style="9" customWidth="1"/>
    <col min="14852" max="14852" width="9" style="9"/>
    <col min="14853" max="14854" width="8" style="9" customWidth="1"/>
    <col min="14855" max="14855" width="8.875" style="9" bestFit="1" customWidth="1"/>
    <col min="14856" max="14857" width="11.25" style="9" customWidth="1"/>
    <col min="14858" max="15104" width="9" style="9"/>
    <col min="15105" max="15105" width="21.375" style="9" customWidth="1"/>
    <col min="15106" max="15106" width="11.125" style="9" customWidth="1"/>
    <col min="15107" max="15107" width="10.75" style="9" customWidth="1"/>
    <col min="15108" max="15108" width="9" style="9"/>
    <col min="15109" max="15110" width="8" style="9" customWidth="1"/>
    <col min="15111" max="15111" width="8.875" style="9" bestFit="1" customWidth="1"/>
    <col min="15112" max="15113" width="11.25" style="9" customWidth="1"/>
    <col min="15114" max="15360" width="9" style="9"/>
    <col min="15361" max="15361" width="21.375" style="9" customWidth="1"/>
    <col min="15362" max="15362" width="11.125" style="9" customWidth="1"/>
    <col min="15363" max="15363" width="10.75" style="9" customWidth="1"/>
    <col min="15364" max="15364" width="9" style="9"/>
    <col min="15365" max="15366" width="8" style="9" customWidth="1"/>
    <col min="15367" max="15367" width="8.875" style="9" bestFit="1" customWidth="1"/>
    <col min="15368" max="15369" width="11.25" style="9" customWidth="1"/>
    <col min="15370" max="15616" width="9" style="9"/>
    <col min="15617" max="15617" width="21.375" style="9" customWidth="1"/>
    <col min="15618" max="15618" width="11.125" style="9" customWidth="1"/>
    <col min="15619" max="15619" width="10.75" style="9" customWidth="1"/>
    <col min="15620" max="15620" width="9" style="9"/>
    <col min="15621" max="15622" width="8" style="9" customWidth="1"/>
    <col min="15623" max="15623" width="8.875" style="9" bestFit="1" customWidth="1"/>
    <col min="15624" max="15625" width="11.25" style="9" customWidth="1"/>
    <col min="15626" max="15872" width="9" style="9"/>
    <col min="15873" max="15873" width="21.375" style="9" customWidth="1"/>
    <col min="15874" max="15874" width="11.125" style="9" customWidth="1"/>
    <col min="15875" max="15875" width="10.75" style="9" customWidth="1"/>
    <col min="15876" max="15876" width="9" style="9"/>
    <col min="15877" max="15878" width="8" style="9" customWidth="1"/>
    <col min="15879" max="15879" width="8.875" style="9" bestFit="1" customWidth="1"/>
    <col min="15880" max="15881" width="11.25" style="9" customWidth="1"/>
    <col min="15882" max="16128" width="9" style="9"/>
    <col min="16129" max="16129" width="21.375" style="9" customWidth="1"/>
    <col min="16130" max="16130" width="11.125" style="9" customWidth="1"/>
    <col min="16131" max="16131" width="10.75" style="9" customWidth="1"/>
    <col min="16132" max="16132" width="9" style="9"/>
    <col min="16133" max="16134" width="8" style="9" customWidth="1"/>
    <col min="16135" max="16135" width="8.875" style="9" bestFit="1" customWidth="1"/>
    <col min="16136" max="16137" width="11.25" style="9" customWidth="1"/>
    <col min="16138" max="16384" width="9" style="9"/>
  </cols>
  <sheetData>
    <row r="1" spans="1:19" s="6" customFormat="1" ht="4.5" customHeight="1">
      <c r="B1" s="7" t="s">
        <v>364</v>
      </c>
      <c r="C1" s="7"/>
      <c r="D1" s="7"/>
      <c r="E1" s="7"/>
      <c r="F1" s="7"/>
      <c r="G1" s="7"/>
      <c r="H1" s="7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ht="27.75" customHeight="1">
      <c r="B2" s="7"/>
      <c r="C2" s="7"/>
      <c r="D2" s="7"/>
      <c r="E2" s="7"/>
      <c r="F2" s="7"/>
      <c r="G2" s="7"/>
      <c r="H2" s="7"/>
    </row>
    <row r="3" spans="1:19" ht="19.5" customHeight="1">
      <c r="A3" s="11" t="s">
        <v>365</v>
      </c>
      <c r="C3" s="12"/>
      <c r="D3" s="13"/>
      <c r="E3" s="14"/>
      <c r="F3" s="14"/>
      <c r="G3" s="14"/>
    </row>
    <row r="4" spans="1:19" ht="19.5" customHeight="1">
      <c r="A4" s="11" t="s">
        <v>366</v>
      </c>
      <c r="C4" s="12"/>
      <c r="D4" s="13"/>
      <c r="E4" s="14"/>
      <c r="F4" s="14"/>
      <c r="G4" s="15"/>
      <c r="H4" s="15"/>
      <c r="I4" s="15"/>
    </row>
    <row r="5" spans="1:19" ht="12" customHeight="1" thickBot="1">
      <c r="G5" s="16"/>
      <c r="H5" s="17" t="str">
        <f>"작성일 : "&amp;TEXT(_xlfn.XLOOKUP(B7,near_miss_excel_view!C:C,near_miss_excel_view!D:D,"없음",0,1),"YY-MM-DD")</f>
        <v>작성일 : 26-04-03</v>
      </c>
      <c r="I5" s="17"/>
    </row>
    <row r="6" spans="1:19" s="26" customFormat="1" ht="18.75" customHeight="1">
      <c r="A6" s="18" t="s">
        <v>367</v>
      </c>
      <c r="B6" s="19" t="s">
        <v>368</v>
      </c>
      <c r="C6" s="20"/>
      <c r="D6" s="21" t="s">
        <v>369</v>
      </c>
      <c r="E6" s="22" t="str">
        <f>_xlfn.XLOOKUP(B7,near_miss_excel_view!C:C,near_miss_excel_view!B:B,"없음",0,1)</f>
        <v>김도담</v>
      </c>
      <c r="F6" s="23"/>
      <c r="G6" s="21" t="s">
        <v>370</v>
      </c>
      <c r="H6" s="22"/>
      <c r="I6" s="24"/>
      <c r="J6" s="25"/>
      <c r="K6" s="25"/>
      <c r="L6" s="25"/>
      <c r="M6" s="25"/>
      <c r="N6" s="25"/>
      <c r="O6" s="25"/>
      <c r="P6" s="25"/>
      <c r="Q6" s="25"/>
      <c r="R6" s="25"/>
      <c r="S6" s="25"/>
    </row>
    <row r="7" spans="1:19" s="26" customFormat="1" ht="18.75" customHeight="1">
      <c r="A7" s="27" t="s">
        <v>371</v>
      </c>
      <c r="B7" s="28" t="s">
        <v>241</v>
      </c>
      <c r="C7" s="29"/>
      <c r="D7" s="29"/>
      <c r="E7" s="29"/>
      <c r="F7" s="29"/>
      <c r="G7" s="29"/>
      <c r="H7" s="29"/>
      <c r="I7" s="30"/>
      <c r="J7" s="25"/>
      <c r="K7" s="25"/>
      <c r="L7" s="25"/>
      <c r="M7" s="25"/>
      <c r="N7" s="25"/>
      <c r="O7" s="25"/>
      <c r="P7" s="25"/>
      <c r="Q7" s="25"/>
      <c r="R7" s="25"/>
      <c r="S7" s="25"/>
    </row>
    <row r="8" spans="1:19" s="26" customFormat="1" ht="4.5" customHeight="1">
      <c r="A8" s="31"/>
      <c r="B8" s="32"/>
      <c r="I8" s="33"/>
      <c r="J8" s="25"/>
      <c r="K8" s="25"/>
      <c r="L8" s="25"/>
      <c r="M8" s="25"/>
      <c r="N8" s="25"/>
      <c r="O8" s="25"/>
      <c r="P8" s="25"/>
      <c r="Q8" s="25"/>
      <c r="R8" s="25"/>
      <c r="S8" s="25"/>
    </row>
    <row r="9" spans="1:19" s="26" customFormat="1" ht="16.5" customHeight="1">
      <c r="A9" s="34" t="s">
        <v>372</v>
      </c>
      <c r="B9" s="35" t="str">
        <f>" 1. 발생 일시 :    "&amp;TEXT(_xlfn.XLOOKUP(B7,near_miss_excel_view!C:C,near_miss_excel_view!D:D,"없음",0,1),"YYYY년 MM월 DD일 hh시 mm분")&amp;" 경"</f>
        <v xml:space="preserve"> 1. 발생 일시 :    2026년 04월 03일 09시 06분 경</v>
      </c>
      <c r="C9" s="36"/>
      <c r="I9" s="33"/>
      <c r="J9" s="25"/>
      <c r="K9" s="25"/>
      <c r="L9" s="25"/>
      <c r="M9" s="25"/>
      <c r="N9" s="25"/>
      <c r="O9" s="25"/>
      <c r="P9" s="25"/>
      <c r="Q9" s="25"/>
      <c r="R9" s="25"/>
      <c r="S9" s="25"/>
    </row>
    <row r="10" spans="1:19" s="26" customFormat="1" ht="16.5" customHeight="1">
      <c r="A10" s="34" t="s">
        <v>373</v>
      </c>
      <c r="B10" s="37" t="str">
        <f>" 2. 발생 장소 :    "&amp;_xlfn.XLOOKUP(B7,near_miss_excel_view!C:C,near_miss_excel_view!E:E,"없음",0,1)</f>
        <v xml:space="preserve"> 2. 발생 장소 :    4k kiln inlet</v>
      </c>
      <c r="I10" s="33"/>
      <c r="J10" s="25"/>
      <c r="K10" s="25"/>
      <c r="L10" s="25"/>
      <c r="M10" s="25"/>
      <c r="N10" s="25"/>
      <c r="O10" s="25"/>
      <c r="P10" s="25"/>
      <c r="Q10" s="25"/>
      <c r="R10" s="25"/>
      <c r="S10" s="25"/>
    </row>
    <row r="11" spans="1:19" s="26" customFormat="1" ht="16.5" customHeight="1">
      <c r="A11" s="38" t="s">
        <v>374</v>
      </c>
      <c r="B11" s="39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파이브렌치를 사용하다 헛돌아 넘어짐
원인: 공구를 체결 시 손잡이와 파이프가 수직상태에 놓이지 않은 상태로, 몸의 위치가 손잡이 중심선에서 많이 벗어난 상태였음</v>
      </c>
      <c r="C11" s="40"/>
      <c r="D11" s="40"/>
      <c r="E11" s="40"/>
      <c r="F11" s="40"/>
      <c r="G11" s="40"/>
      <c r="H11" s="40"/>
      <c r="I11" s="41"/>
      <c r="J11" s="25"/>
      <c r="K11" s="25"/>
      <c r="L11" s="25"/>
      <c r="M11" s="25"/>
      <c r="N11" s="25"/>
      <c r="O11" s="25"/>
      <c r="P11" s="25"/>
      <c r="Q11" s="25"/>
      <c r="R11" s="25"/>
      <c r="S11" s="25"/>
    </row>
    <row r="12" spans="1:19" s="26" customFormat="1" ht="16.5" customHeight="1">
      <c r="A12" s="42" t="s">
        <v>375</v>
      </c>
      <c r="B12" s="39"/>
      <c r="C12" s="40"/>
      <c r="D12" s="40"/>
      <c r="E12" s="40"/>
      <c r="F12" s="40"/>
      <c r="G12" s="40"/>
      <c r="H12" s="40"/>
      <c r="I12" s="41"/>
      <c r="J12" s="25"/>
      <c r="K12" s="25"/>
      <c r="L12" s="25"/>
      <c r="M12" s="25"/>
      <c r="N12" s="25"/>
      <c r="O12" s="25"/>
      <c r="P12" s="25"/>
      <c r="Q12" s="25"/>
      <c r="R12" s="25"/>
      <c r="S12" s="25"/>
    </row>
    <row r="13" spans="1:19" s="26" customFormat="1" ht="16.5" customHeight="1">
      <c r="A13" s="42"/>
      <c r="B13" s="39"/>
      <c r="C13" s="40"/>
      <c r="D13" s="40"/>
      <c r="E13" s="40"/>
      <c r="F13" s="40"/>
      <c r="G13" s="40"/>
      <c r="H13" s="40"/>
      <c r="I13" s="41"/>
      <c r="J13" s="25"/>
      <c r="K13" s="25"/>
      <c r="L13" s="25"/>
      <c r="M13" s="25"/>
      <c r="N13" s="25"/>
      <c r="O13" s="25"/>
      <c r="P13" s="25"/>
      <c r="Q13" s="25"/>
      <c r="R13" s="25"/>
      <c r="S13" s="25"/>
    </row>
    <row r="14" spans="1:19" s="26" customFormat="1" ht="16.5" customHeight="1">
      <c r="A14" s="42"/>
      <c r="B14" s="39"/>
      <c r="C14" s="40"/>
      <c r="D14" s="40"/>
      <c r="E14" s="40"/>
      <c r="F14" s="40"/>
      <c r="G14" s="40"/>
      <c r="H14" s="40"/>
      <c r="I14" s="41"/>
      <c r="J14" s="25"/>
      <c r="K14" s="25"/>
      <c r="L14" s="25"/>
      <c r="M14" s="25"/>
      <c r="N14" s="25"/>
      <c r="O14" s="25"/>
      <c r="P14" s="25"/>
      <c r="Q14" s="25"/>
      <c r="R14" s="25"/>
      <c r="S14" s="25"/>
    </row>
    <row r="15" spans="1:19" s="26" customFormat="1" ht="16.5" customHeight="1">
      <c r="A15" s="34"/>
      <c r="B15" s="39"/>
      <c r="C15" s="40"/>
      <c r="D15" s="40"/>
      <c r="E15" s="40"/>
      <c r="F15" s="40"/>
      <c r="G15" s="40"/>
      <c r="H15" s="40"/>
      <c r="I15" s="41"/>
      <c r="J15" s="25"/>
      <c r="K15" s="25"/>
      <c r="L15" s="25"/>
      <c r="M15" s="25"/>
      <c r="N15" s="25"/>
      <c r="O15" s="25"/>
      <c r="P15" s="25"/>
      <c r="Q15" s="25"/>
      <c r="R15" s="25"/>
      <c r="S15" s="25"/>
    </row>
    <row r="16" spans="1:19" s="26" customFormat="1" ht="17.45" customHeight="1" thickBot="1">
      <c r="A16" s="34"/>
      <c r="B16" s="39"/>
      <c r="C16" s="40"/>
      <c r="D16" s="40"/>
      <c r="E16" s="40"/>
      <c r="F16" s="40"/>
      <c r="G16" s="40"/>
      <c r="H16" s="40"/>
      <c r="I16" s="41"/>
      <c r="J16" s="25" t="s">
        <v>376</v>
      </c>
      <c r="K16" s="25"/>
      <c r="L16" s="25" t="s">
        <v>377</v>
      </c>
      <c r="M16" s="25"/>
      <c r="N16" s="25" t="s">
        <v>378</v>
      </c>
      <c r="O16" s="25"/>
      <c r="P16" s="25" t="s">
        <v>379</v>
      </c>
      <c r="Q16" s="25"/>
      <c r="R16" s="25" t="s">
        <v>380</v>
      </c>
      <c r="S16" s="25"/>
    </row>
    <row r="17" spans="1:19" s="26" customFormat="1" ht="16.149999999999999" customHeight="1">
      <c r="A17" s="43" t="s">
        <v>381</v>
      </c>
      <c r="B17" s="44"/>
      <c r="C17" s="44"/>
      <c r="D17" s="44"/>
      <c r="E17" s="44"/>
      <c r="F17" s="44"/>
      <c r="G17" s="44"/>
      <c r="H17" s="44"/>
      <c r="I17" s="45"/>
      <c r="J17" s="25" t="str">
        <f>_xlfn.XLOOKUP(B7,near_miss_excel_view!$C:$C,near_miss_excel_view!H:H,"없음",0,1)</f>
        <v>절단/찰과상</v>
      </c>
      <c r="K17" s="25"/>
      <c r="L17" s="25" t="str">
        <f>_xlfn.XLOOKUP(B7,near_miss_excel_view!$C:$C,near_miss_excel_view!I:I,"없음",0,1)</f>
        <v>도구 및 장비</v>
      </c>
      <c r="M17" s="25"/>
      <c r="N17" s="25" t="str">
        <f>_xlfn.XLOOKUP(B7,near_miss_excel_view!$C:$C,near_miss_excel_view!J:J,"없음",0,1)</f>
        <v>불안전한 자세</v>
      </c>
      <c r="O17" s="25"/>
      <c r="P17" s="25" t="str">
        <f>_xlfn.XLOOKUP(B7,near_miss_excel_view!$C:$C,near_miss_excel_view!K:K,"없음",0,1)</f>
        <v>몸의 균형이 불안정해짐</v>
      </c>
      <c r="Q17" s="25"/>
      <c r="R17" s="25" t="str">
        <f>_xlfn.XLOOKUP(B7,near_miss_excel_view!$C:$C,near_miss_excel_view!L:L,"없음",0,1)</f>
        <v>서두름</v>
      </c>
      <c r="S17" s="25"/>
    </row>
    <row r="18" spans="1:19" s="26" customFormat="1" ht="15.75" customHeight="1">
      <c r="A18" s="46" t="s">
        <v>382</v>
      </c>
      <c r="B18" s="47"/>
      <c r="C18" s="48"/>
      <c r="D18" s="49" t="s">
        <v>383</v>
      </c>
      <c r="E18" s="50"/>
      <c r="F18" s="50"/>
      <c r="G18" s="51"/>
      <c r="H18" s="52"/>
      <c r="I18" s="53"/>
      <c r="J18" s="25"/>
      <c r="K18" s="25"/>
      <c r="L18" s="25"/>
      <c r="M18" s="25"/>
      <c r="N18" s="25"/>
      <c r="O18" s="25"/>
      <c r="P18" s="25"/>
      <c r="Q18" s="25"/>
      <c r="R18" s="25"/>
      <c r="S18" s="25"/>
    </row>
    <row r="19" spans="1:19" s="26" customFormat="1" ht="16.149999999999999" customHeight="1">
      <c r="A19" s="54"/>
      <c r="B19" s="55"/>
      <c r="C19" s="56"/>
      <c r="D19" s="57"/>
      <c r="E19" s="58"/>
      <c r="F19" s="58"/>
      <c r="G19" s="58"/>
      <c r="H19" s="58"/>
      <c r="I19" s="59"/>
      <c r="J19" s="25" t="s">
        <v>384</v>
      </c>
      <c r="K19" s="25" t="b">
        <f t="shared" ref="K19:K36" si="0">IF(J19=$J$17,TRUE,FALSE)</f>
        <v>0</v>
      </c>
      <c r="L19" s="25" t="s">
        <v>168</v>
      </c>
      <c r="M19" s="25" t="b">
        <f>IF($L$17=L19,TRUE,FALSE)</f>
        <v>0</v>
      </c>
      <c r="N19" s="25" t="s">
        <v>385</v>
      </c>
      <c r="O19" s="25" t="b">
        <f t="shared" ref="O19:O25" si="1">IF($N$17=N19,TRUE,FALSE)</f>
        <v>0</v>
      </c>
      <c r="P19" s="25" t="s">
        <v>35</v>
      </c>
      <c r="Q19" s="25" t="b">
        <f>IF($P$17=P19,TRUE,FALSE)</f>
        <v>0</v>
      </c>
      <c r="R19" s="25" t="s">
        <v>36</v>
      </c>
      <c r="S19" s="25" t="b">
        <f>IF($R$17=R19,TRUE,FALSE)</f>
        <v>1</v>
      </c>
    </row>
    <row r="20" spans="1:19" s="26" customFormat="1" ht="16.149999999999999" customHeight="1">
      <c r="A20" s="54"/>
      <c r="B20" s="55"/>
      <c r="C20" s="56"/>
      <c r="D20" s="60"/>
      <c r="E20" s="55"/>
      <c r="F20" s="55"/>
      <c r="G20" s="55"/>
      <c r="H20" s="55"/>
      <c r="I20" s="61"/>
      <c r="J20" s="25" t="s">
        <v>32</v>
      </c>
      <c r="K20" s="25" t="b">
        <f t="shared" si="0"/>
        <v>0</v>
      </c>
      <c r="L20" s="25" t="s">
        <v>386</v>
      </c>
      <c r="M20" s="25" t="b">
        <f>IF($L$17=L20,TRUE,FALSE)</f>
        <v>0</v>
      </c>
      <c r="N20" s="25" t="s">
        <v>387</v>
      </c>
      <c r="O20" s="25" t="b">
        <f t="shared" si="1"/>
        <v>0</v>
      </c>
      <c r="P20" s="25" t="s">
        <v>158</v>
      </c>
      <c r="Q20" s="25" t="b">
        <f>IF($P$17=P20,TRUE,FALSE)</f>
        <v>1</v>
      </c>
      <c r="R20" s="25" t="s">
        <v>388</v>
      </c>
      <c r="S20" s="25" t="b">
        <f>IF($R$17=R20,TRUE,FALSE)</f>
        <v>0</v>
      </c>
    </row>
    <row r="21" spans="1:19" s="26" customFormat="1" ht="16.149999999999999" customHeight="1">
      <c r="A21" s="54"/>
      <c r="B21" s="55"/>
      <c r="C21" s="56"/>
      <c r="D21" s="60"/>
      <c r="E21" s="55"/>
      <c r="F21" s="55"/>
      <c r="G21" s="55"/>
      <c r="H21" s="55"/>
      <c r="I21" s="61"/>
      <c r="J21" s="25" t="s">
        <v>389</v>
      </c>
      <c r="K21" s="25" t="b">
        <f t="shared" si="0"/>
        <v>0</v>
      </c>
      <c r="L21" s="25" t="s">
        <v>390</v>
      </c>
      <c r="M21" s="25" t="b">
        <f>IF($L$17=L21,TRUE,FALSE)</f>
        <v>0</v>
      </c>
      <c r="N21" s="25" t="s">
        <v>391</v>
      </c>
      <c r="O21" s="25" t="b">
        <f t="shared" si="1"/>
        <v>0</v>
      </c>
      <c r="P21" s="25" t="s">
        <v>169</v>
      </c>
      <c r="Q21" s="25" t="b">
        <f>IF($P$17=P21,TRUE,FALSE)</f>
        <v>0</v>
      </c>
      <c r="R21" s="25" t="s">
        <v>392</v>
      </c>
      <c r="S21" s="25" t="b">
        <f>IF($R$17=R21,TRUE,FALSE)</f>
        <v>0</v>
      </c>
    </row>
    <row r="22" spans="1:19" s="26" customFormat="1" ht="16.149999999999999" customHeight="1">
      <c r="A22" s="54"/>
      <c r="B22" s="55"/>
      <c r="C22" s="56"/>
      <c r="D22" s="60"/>
      <c r="E22" s="55"/>
      <c r="F22" s="55"/>
      <c r="G22" s="55"/>
      <c r="H22" s="55"/>
      <c r="I22" s="61"/>
      <c r="J22" s="25" t="s">
        <v>393</v>
      </c>
      <c r="K22" s="25" t="b">
        <f t="shared" si="0"/>
        <v>0</v>
      </c>
      <c r="L22" s="25" t="s">
        <v>394</v>
      </c>
      <c r="M22" s="25" t="b">
        <f t="shared" ref="M22:M36" si="2">IF($L$17=L22,TRUE,FALSE)</f>
        <v>0</v>
      </c>
      <c r="N22" s="25" t="s">
        <v>395</v>
      </c>
      <c r="O22" s="25" t="b">
        <f t="shared" si="1"/>
        <v>0</v>
      </c>
      <c r="P22" s="25" t="s">
        <v>234</v>
      </c>
      <c r="Q22" s="25" t="b">
        <f>IF($P$17=P22,TRUE,FALSE)</f>
        <v>0</v>
      </c>
      <c r="R22" s="25" t="s">
        <v>396</v>
      </c>
      <c r="S22" s="25" t="b">
        <f>IF($R$17=R22,TRUE,FALSE)</f>
        <v>0</v>
      </c>
    </row>
    <row r="23" spans="1:19" s="26" customFormat="1" ht="16.149999999999999" customHeight="1">
      <c r="A23" s="54"/>
      <c r="B23" s="55"/>
      <c r="C23" s="56"/>
      <c r="D23" s="60"/>
      <c r="E23" s="55"/>
      <c r="F23" s="55"/>
      <c r="G23" s="55"/>
      <c r="H23" s="55"/>
      <c r="I23" s="61"/>
      <c r="J23" s="25" t="s">
        <v>397</v>
      </c>
      <c r="K23" s="25" t="b">
        <f t="shared" si="0"/>
        <v>0</v>
      </c>
      <c r="L23" s="25" t="s">
        <v>398</v>
      </c>
      <c r="M23" s="25" t="b">
        <f t="shared" si="2"/>
        <v>0</v>
      </c>
      <c r="N23" s="25" t="s">
        <v>399</v>
      </c>
      <c r="O23" s="25" t="b">
        <f t="shared" si="1"/>
        <v>1</v>
      </c>
      <c r="P23" s="25"/>
      <c r="Q23" s="25"/>
      <c r="R23" s="25"/>
      <c r="S23" s="25"/>
    </row>
    <row r="24" spans="1:19" s="26" customFormat="1" ht="16.149999999999999" customHeight="1">
      <c r="A24" s="54"/>
      <c r="B24" s="55"/>
      <c r="C24" s="56"/>
      <c r="D24" s="60"/>
      <c r="E24" s="55"/>
      <c r="F24" s="55"/>
      <c r="G24" s="55"/>
      <c r="H24" s="55"/>
      <c r="I24" s="61"/>
      <c r="J24" s="25" t="s">
        <v>400</v>
      </c>
      <c r="K24" s="25" t="b">
        <f t="shared" si="0"/>
        <v>0</v>
      </c>
      <c r="L24" s="25" t="s">
        <v>401</v>
      </c>
      <c r="M24" s="25" t="b">
        <f t="shared" si="2"/>
        <v>0</v>
      </c>
      <c r="N24" s="25" t="s">
        <v>233</v>
      </c>
      <c r="O24" s="25" t="b">
        <f t="shared" si="1"/>
        <v>0</v>
      </c>
      <c r="P24" s="25"/>
      <c r="Q24" s="25"/>
      <c r="R24" s="25"/>
      <c r="S24" s="25"/>
    </row>
    <row r="25" spans="1:19" s="26" customFormat="1" ht="16.149999999999999" customHeight="1">
      <c r="A25" s="54"/>
      <c r="B25" s="55"/>
      <c r="C25" s="56"/>
      <c r="D25" s="60"/>
      <c r="E25" s="55"/>
      <c r="F25" s="55"/>
      <c r="G25" s="55"/>
      <c r="H25" s="55"/>
      <c r="I25" s="61"/>
      <c r="J25" s="25" t="s">
        <v>402</v>
      </c>
      <c r="K25" s="25" t="b">
        <f t="shared" si="0"/>
        <v>0</v>
      </c>
      <c r="L25" s="25" t="s">
        <v>403</v>
      </c>
      <c r="M25" s="25" t="b">
        <f t="shared" si="2"/>
        <v>0</v>
      </c>
      <c r="N25" s="25" t="s">
        <v>239</v>
      </c>
      <c r="O25" s="25" t="b">
        <f t="shared" si="1"/>
        <v>0</v>
      </c>
      <c r="P25" s="25"/>
      <c r="Q25" s="25"/>
      <c r="R25" s="25"/>
      <c r="S25" s="25"/>
    </row>
    <row r="26" spans="1:19" s="26" customFormat="1" ht="16.149999999999999" customHeight="1">
      <c r="A26" s="54"/>
      <c r="B26" s="55"/>
      <c r="C26" s="56"/>
      <c r="D26" s="62"/>
      <c r="E26" s="63"/>
      <c r="F26" s="63"/>
      <c r="G26" s="63"/>
      <c r="H26" s="63"/>
      <c r="I26" s="64"/>
      <c r="J26" s="25" t="s">
        <v>232</v>
      </c>
      <c r="K26" s="25" t="b">
        <f t="shared" si="0"/>
        <v>0</v>
      </c>
      <c r="L26" s="25" t="s">
        <v>33</v>
      </c>
      <c r="M26" s="25" t="b">
        <f t="shared" si="2"/>
        <v>0</v>
      </c>
      <c r="N26" s="25" t="s">
        <v>34</v>
      </c>
      <c r="O26" s="25" t="b">
        <f>IF(COUNTIF(N17,"*기타*"),TRUE,FALSE)</f>
        <v>0</v>
      </c>
      <c r="P26" s="25"/>
      <c r="Q26" s="25"/>
      <c r="R26" s="25"/>
      <c r="S26" s="25"/>
    </row>
    <row r="27" spans="1:19" s="26" customFormat="1" ht="15.75" customHeight="1">
      <c r="A27" s="54"/>
      <c r="B27" s="55"/>
      <c r="C27" s="56"/>
      <c r="D27" s="65" t="s">
        <v>404</v>
      </c>
      <c r="E27" s="66"/>
      <c r="F27" s="66"/>
      <c r="G27" s="67"/>
      <c r="H27" s="68"/>
      <c r="I27" s="69"/>
      <c r="J27" s="25" t="s">
        <v>405</v>
      </c>
      <c r="K27" s="25" t="b">
        <f t="shared" si="0"/>
        <v>0</v>
      </c>
      <c r="L27" s="25" t="s">
        <v>406</v>
      </c>
      <c r="M27" s="25" t="b">
        <f t="shared" si="2"/>
        <v>0</v>
      </c>
      <c r="N27" s="25"/>
      <c r="O27" s="25"/>
      <c r="P27" s="25"/>
      <c r="Q27" s="25"/>
      <c r="R27" s="25"/>
      <c r="S27" s="25"/>
    </row>
    <row r="28" spans="1:19" s="26" customFormat="1" ht="16.5" customHeight="1">
      <c r="A28" s="54"/>
      <c r="B28" s="55"/>
      <c r="C28" s="56"/>
      <c r="D28" s="70"/>
      <c r="E28" s="71"/>
      <c r="F28" s="71"/>
      <c r="G28" s="71"/>
      <c r="H28" s="71"/>
      <c r="I28" s="72"/>
      <c r="J28" s="25" t="s">
        <v>407</v>
      </c>
      <c r="K28" s="25" t="b">
        <f t="shared" si="0"/>
        <v>0</v>
      </c>
      <c r="L28" s="25" t="s">
        <v>408</v>
      </c>
      <c r="M28" s="25" t="b">
        <f t="shared" si="2"/>
        <v>0</v>
      </c>
      <c r="N28" s="25"/>
      <c r="O28" s="25"/>
      <c r="P28" s="25"/>
      <c r="Q28" s="25"/>
      <c r="R28" s="25"/>
      <c r="S28" s="25"/>
    </row>
    <row r="29" spans="1:19" s="26" customFormat="1" ht="16.5" customHeight="1">
      <c r="A29" s="54"/>
      <c r="B29" s="55"/>
      <c r="C29" s="56"/>
      <c r="D29" s="73"/>
      <c r="E29" s="74"/>
      <c r="F29" s="74"/>
      <c r="G29" s="74"/>
      <c r="H29" s="74"/>
      <c r="I29" s="75"/>
      <c r="J29" s="25" t="s">
        <v>34</v>
      </c>
      <c r="K29" s="25" t="b">
        <f t="shared" si="0"/>
        <v>0</v>
      </c>
      <c r="L29" s="25" t="s">
        <v>34</v>
      </c>
      <c r="M29" s="25" t="b">
        <f t="shared" si="2"/>
        <v>0</v>
      </c>
      <c r="N29" s="25"/>
      <c r="O29" s="25"/>
      <c r="P29" s="25"/>
      <c r="Q29" s="25"/>
      <c r="R29" s="25"/>
      <c r="S29" s="25"/>
    </row>
    <row r="30" spans="1:19" s="26" customFormat="1" ht="16.5" customHeight="1">
      <c r="A30" s="54"/>
      <c r="B30" s="55"/>
      <c r="C30" s="56"/>
      <c r="D30" s="73"/>
      <c r="E30" s="74"/>
      <c r="F30" s="74"/>
      <c r="G30" s="74"/>
      <c r="H30" s="74"/>
      <c r="I30" s="75"/>
      <c r="J30" s="25" t="s">
        <v>409</v>
      </c>
      <c r="K30" s="25" t="b">
        <f t="shared" si="0"/>
        <v>0</v>
      </c>
      <c r="L30" s="25" t="s">
        <v>410</v>
      </c>
      <c r="M30" s="25" t="b">
        <f t="shared" si="2"/>
        <v>0</v>
      </c>
      <c r="N30" s="25"/>
      <c r="O30" s="25"/>
      <c r="P30" s="25"/>
      <c r="Q30" s="25"/>
      <c r="R30" s="25"/>
      <c r="S30" s="25"/>
    </row>
    <row r="31" spans="1:19" s="26" customFormat="1" ht="16.5" customHeight="1">
      <c r="A31" s="54"/>
      <c r="B31" s="55"/>
      <c r="C31" s="56"/>
      <c r="D31" s="73"/>
      <c r="E31" s="74"/>
      <c r="F31" s="74"/>
      <c r="G31" s="74"/>
      <c r="H31" s="74"/>
      <c r="I31" s="75"/>
      <c r="J31" s="25" t="s">
        <v>411</v>
      </c>
      <c r="K31" s="25" t="b">
        <f t="shared" si="0"/>
        <v>0</v>
      </c>
      <c r="L31" s="25" t="s">
        <v>412</v>
      </c>
      <c r="M31" s="25" t="b">
        <f t="shared" si="2"/>
        <v>0</v>
      </c>
      <c r="N31" s="25"/>
      <c r="O31" s="25"/>
      <c r="P31" s="25"/>
      <c r="Q31" s="25"/>
      <c r="R31" s="25"/>
      <c r="S31" s="25"/>
    </row>
    <row r="32" spans="1:19" s="26" customFormat="1" ht="16.5" customHeight="1">
      <c r="A32" s="54"/>
      <c r="B32" s="55"/>
      <c r="C32" s="56"/>
      <c r="D32" s="73"/>
      <c r="E32" s="74"/>
      <c r="F32" s="74"/>
      <c r="G32" s="74"/>
      <c r="H32" s="74"/>
      <c r="I32" s="75"/>
      <c r="J32" s="25" t="s">
        <v>413</v>
      </c>
      <c r="K32" s="25" t="b">
        <f t="shared" si="0"/>
        <v>0</v>
      </c>
      <c r="L32" s="25" t="s">
        <v>414</v>
      </c>
      <c r="M32" s="25" t="b">
        <f t="shared" si="2"/>
        <v>0</v>
      </c>
      <c r="N32" s="25"/>
      <c r="O32" s="25"/>
      <c r="P32" s="25"/>
      <c r="Q32" s="25"/>
      <c r="R32" s="25"/>
      <c r="S32" s="25"/>
    </row>
    <row r="33" spans="1:19" s="26" customFormat="1" ht="16.5" customHeight="1">
      <c r="A33" s="54"/>
      <c r="B33" s="55"/>
      <c r="C33" s="56"/>
      <c r="D33" s="73"/>
      <c r="E33" s="74"/>
      <c r="F33" s="74"/>
      <c r="G33" s="74"/>
      <c r="H33" s="74"/>
      <c r="I33" s="75"/>
      <c r="J33" s="25" t="s">
        <v>415</v>
      </c>
      <c r="K33" s="25" t="b">
        <f t="shared" si="0"/>
        <v>0</v>
      </c>
      <c r="L33" s="25" t="s">
        <v>240</v>
      </c>
      <c r="M33" s="25" t="b">
        <f t="shared" si="2"/>
        <v>1</v>
      </c>
      <c r="N33" s="25"/>
      <c r="O33" s="25"/>
      <c r="P33" s="25"/>
      <c r="Q33" s="25"/>
      <c r="R33" s="25"/>
      <c r="S33" s="25"/>
    </row>
    <row r="34" spans="1:19" s="26" customFormat="1" ht="16.5" customHeight="1" thickBot="1">
      <c r="A34" s="76"/>
      <c r="B34" s="77"/>
      <c r="C34" s="78"/>
      <c r="D34" s="79"/>
      <c r="E34" s="80"/>
      <c r="F34" s="80"/>
      <c r="G34" s="80"/>
      <c r="H34" s="80"/>
      <c r="I34" s="81"/>
      <c r="J34" s="25" t="s">
        <v>459</v>
      </c>
      <c r="K34" s="25" t="b">
        <f t="shared" si="0"/>
        <v>1</v>
      </c>
      <c r="L34" s="25" t="s">
        <v>417</v>
      </c>
      <c r="M34" s="25" t="b">
        <f t="shared" si="2"/>
        <v>0</v>
      </c>
      <c r="N34" s="25"/>
      <c r="O34" s="25"/>
      <c r="P34" s="25"/>
      <c r="Q34" s="25"/>
      <c r="R34" s="25"/>
      <c r="S34" s="25"/>
    </row>
    <row r="35" spans="1:19" s="26" customFormat="1" ht="16.5" customHeight="1">
      <c r="A35" s="82" t="s">
        <v>418</v>
      </c>
      <c r="B35" s="83" t="s">
        <v>419</v>
      </c>
      <c r="C35" s="84"/>
      <c r="D35" s="84"/>
      <c r="E35" s="84"/>
      <c r="F35" s="84"/>
      <c r="G35" s="84"/>
      <c r="H35" s="85"/>
      <c r="I35" s="33"/>
      <c r="J35" s="25" t="s">
        <v>420</v>
      </c>
      <c r="K35" s="25" t="b">
        <f t="shared" si="0"/>
        <v>0</v>
      </c>
      <c r="L35" s="25" t="s">
        <v>421</v>
      </c>
      <c r="M35" s="25" t="b">
        <f t="shared" si="2"/>
        <v>0</v>
      </c>
      <c r="N35" s="25"/>
      <c r="O35" s="25"/>
      <c r="P35" s="25"/>
      <c r="Q35" s="25"/>
      <c r="R35" s="25"/>
      <c r="S35" s="25"/>
    </row>
    <row r="36" spans="1:19" s="26" customFormat="1" ht="16.5" customHeight="1">
      <c r="A36" s="82" t="s">
        <v>422</v>
      </c>
      <c r="B36" s="86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급하게 작업하기보단 공구가 체결된거 확인후_x000D_
안전하게 작업</v>
      </c>
      <c r="C36" s="87"/>
      <c r="D36" s="87"/>
      <c r="E36" s="87"/>
      <c r="F36" s="87"/>
      <c r="G36" s="87"/>
      <c r="H36" s="87"/>
      <c r="I36" s="88"/>
      <c r="J36" s="25" t="s">
        <v>423</v>
      </c>
      <c r="K36" s="25" t="b">
        <f t="shared" si="0"/>
        <v>0</v>
      </c>
      <c r="L36" s="25" t="s">
        <v>424</v>
      </c>
      <c r="M36" s="25" t="b">
        <f t="shared" si="2"/>
        <v>0</v>
      </c>
      <c r="N36" s="25"/>
      <c r="O36" s="25"/>
      <c r="P36" s="25"/>
      <c r="Q36" s="25"/>
      <c r="R36" s="25"/>
      <c r="S36" s="25"/>
    </row>
    <row r="37" spans="1:19" s="26" customFormat="1" ht="27.75" customHeight="1">
      <c r="A37" s="82" t="s">
        <v>425</v>
      </c>
      <c r="B37" s="86"/>
      <c r="C37" s="87"/>
      <c r="D37" s="87"/>
      <c r="E37" s="87"/>
      <c r="F37" s="87"/>
      <c r="G37" s="87"/>
      <c r="H37" s="87"/>
      <c r="I37" s="88"/>
      <c r="J37" s="25"/>
      <c r="K37" s="25"/>
      <c r="L37" s="25"/>
      <c r="M37" s="25"/>
      <c r="N37" s="25"/>
      <c r="O37" s="25"/>
      <c r="P37" s="25"/>
      <c r="Q37" s="25"/>
      <c r="R37" s="25"/>
      <c r="S37" s="25"/>
    </row>
    <row r="38" spans="1:19" s="26" customFormat="1" ht="16.5" customHeight="1" thickBot="1">
      <c r="A38" s="89"/>
      <c r="B38" s="90"/>
      <c r="C38" s="91"/>
      <c r="D38" s="91"/>
      <c r="E38" s="91"/>
      <c r="F38" s="91"/>
      <c r="G38" s="91"/>
      <c r="H38" s="91"/>
      <c r="I38" s="92"/>
      <c r="J38" s="25"/>
      <c r="K38" s="25"/>
      <c r="L38" s="25"/>
      <c r="M38" s="25"/>
      <c r="N38" s="25"/>
      <c r="O38" s="25"/>
      <c r="P38" s="25"/>
      <c r="Q38" s="25"/>
      <c r="R38" s="25"/>
      <c r="S38" s="25"/>
    </row>
    <row r="39" spans="1:19" s="26" customFormat="1" ht="18.75" customHeight="1" thickBot="1">
      <c r="A39" s="93" t="s">
        <v>426</v>
      </c>
      <c r="B39" s="94"/>
      <c r="C39" s="94"/>
      <c r="D39" s="94"/>
      <c r="E39" s="94"/>
      <c r="F39" s="94"/>
      <c r="G39" s="94"/>
      <c r="H39" s="94"/>
      <c r="I39" s="95"/>
      <c r="J39" s="25"/>
      <c r="K39" s="25"/>
      <c r="L39" s="25"/>
      <c r="M39" s="25"/>
      <c r="N39" s="25"/>
      <c r="O39" s="25"/>
      <c r="P39" s="25"/>
      <c r="Q39" s="25"/>
      <c r="R39" s="25"/>
      <c r="S39" s="25"/>
    </row>
    <row r="40" spans="1:19" s="26" customFormat="1" ht="18" thickTop="1">
      <c r="A40" s="82" t="s">
        <v>427</v>
      </c>
      <c r="B40" s="83" t="s">
        <v>428</v>
      </c>
      <c r="C40" s="84"/>
      <c r="D40" s="84"/>
      <c r="E40" s="84"/>
      <c r="F40" s="84"/>
      <c r="G40" s="84"/>
      <c r="H40" s="85"/>
      <c r="I40" s="33"/>
      <c r="J40" s="25"/>
      <c r="K40" s="25"/>
      <c r="L40" s="25"/>
      <c r="M40" s="25"/>
      <c r="N40" s="25"/>
      <c r="O40" s="25"/>
      <c r="P40" s="25"/>
      <c r="Q40" s="25"/>
      <c r="R40" s="25"/>
      <c r="S40" s="25"/>
    </row>
    <row r="41" spans="1:19" s="26" customFormat="1">
      <c r="A41" s="96" t="s">
        <v>429</v>
      </c>
      <c r="B41" s="97"/>
      <c r="C41" s="98"/>
      <c r="D41" s="98"/>
      <c r="E41" s="98"/>
      <c r="F41" s="98"/>
      <c r="G41" s="98"/>
      <c r="H41" s="98"/>
      <c r="I41" s="99"/>
      <c r="J41" s="25"/>
      <c r="K41" s="25"/>
      <c r="L41" s="25"/>
      <c r="M41" s="25"/>
      <c r="N41" s="25"/>
      <c r="O41" s="25"/>
      <c r="P41" s="25"/>
      <c r="Q41" s="25"/>
      <c r="R41" s="25"/>
      <c r="S41" s="25"/>
    </row>
    <row r="42" spans="1:19" s="26" customFormat="1" ht="27.75" customHeight="1">
      <c r="A42" s="96" t="s">
        <v>430</v>
      </c>
      <c r="B42" s="97"/>
      <c r="C42" s="98"/>
      <c r="D42" s="98"/>
      <c r="E42" s="98"/>
      <c r="F42" s="98"/>
      <c r="G42" s="98"/>
      <c r="H42" s="98"/>
      <c r="I42" s="99"/>
      <c r="J42" s="25"/>
      <c r="K42" s="25"/>
      <c r="L42" s="25"/>
      <c r="M42" s="25"/>
      <c r="N42" s="25"/>
      <c r="O42" s="25"/>
      <c r="P42" s="25"/>
      <c r="Q42" s="25"/>
      <c r="R42" s="25"/>
      <c r="S42" s="25"/>
    </row>
    <row r="43" spans="1:19" s="26" customFormat="1" ht="18" thickBot="1">
      <c r="A43" s="100"/>
      <c r="B43" s="101"/>
      <c r="C43" s="102"/>
      <c r="D43" s="102"/>
      <c r="E43" s="102"/>
      <c r="F43" s="102"/>
      <c r="G43" s="102"/>
      <c r="H43" s="102"/>
      <c r="I43" s="103"/>
      <c r="J43" s="25"/>
      <c r="K43" s="25"/>
      <c r="L43" s="25"/>
      <c r="M43" s="25"/>
      <c r="N43" s="25"/>
      <c r="O43" s="25"/>
      <c r="P43" s="25"/>
      <c r="Q43" s="25"/>
      <c r="R43" s="25"/>
      <c r="S43" s="25"/>
    </row>
    <row r="44" spans="1:19" s="26" customFormat="1" ht="17.25" customHeight="1" thickBot="1">
      <c r="A44" s="104" t="s">
        <v>431</v>
      </c>
      <c r="B44" s="105" t="s">
        <v>432</v>
      </c>
      <c r="C44" s="106" t="s">
        <v>433</v>
      </c>
      <c r="D44" s="107"/>
      <c r="E44" s="108"/>
      <c r="F44" s="109" t="s">
        <v>434</v>
      </c>
      <c r="G44" s="110"/>
      <c r="H44" s="110"/>
      <c r="I44" s="111"/>
      <c r="J44" s="25"/>
      <c r="K44" s="25"/>
      <c r="L44" s="25"/>
      <c r="M44" s="25"/>
      <c r="N44" s="25"/>
      <c r="O44" s="25"/>
      <c r="P44" s="25"/>
      <c r="Q44" s="25"/>
      <c r="R44" s="25"/>
      <c r="S44" s="25"/>
    </row>
    <row r="45" spans="1:19" s="26" customFormat="1" ht="18.75" customHeight="1" thickBot="1">
      <c r="A45" s="93" t="s">
        <v>435</v>
      </c>
      <c r="B45" s="94"/>
      <c r="C45" s="94"/>
      <c r="D45" s="94"/>
      <c r="E45" s="94"/>
      <c r="F45" s="94"/>
      <c r="G45" s="94"/>
      <c r="H45" s="94"/>
      <c r="I45" s="95"/>
      <c r="J45" s="25"/>
      <c r="K45" s="25"/>
      <c r="L45" s="25"/>
      <c r="M45" s="25"/>
      <c r="N45" s="25"/>
      <c r="O45" s="25"/>
      <c r="P45" s="25"/>
      <c r="Q45" s="25"/>
      <c r="R45" s="25"/>
      <c r="S45" s="25"/>
    </row>
    <row r="46" spans="1:19" s="26" customFormat="1" ht="17.25" customHeight="1" thickTop="1" thickBot="1">
      <c r="A46" s="112" t="s">
        <v>436</v>
      </c>
      <c r="B46" s="113" t="s">
        <v>437</v>
      </c>
      <c r="C46" s="114" t="s">
        <v>433</v>
      </c>
      <c r="D46" s="115"/>
      <c r="E46" s="116"/>
      <c r="F46" s="117"/>
      <c r="G46" s="118"/>
      <c r="H46" s="118"/>
      <c r="I46" s="119"/>
      <c r="J46" s="25"/>
      <c r="K46" s="25"/>
      <c r="L46" s="25"/>
      <c r="M46" s="25"/>
      <c r="N46" s="25"/>
      <c r="O46" s="25"/>
      <c r="P46" s="25"/>
      <c r="Q46" s="25"/>
      <c r="R46" s="25"/>
      <c r="S46" s="25"/>
    </row>
    <row r="47" spans="1:19" s="26" customFormat="1" ht="18.75" thickTop="1" thickBot="1">
      <c r="A47" s="120" t="s">
        <v>438</v>
      </c>
      <c r="B47" s="121"/>
      <c r="C47" s="121"/>
      <c r="D47" s="121"/>
      <c r="E47" s="121"/>
      <c r="F47" s="121"/>
      <c r="G47" s="121"/>
      <c r="H47" s="121"/>
      <c r="I47" s="122"/>
      <c r="J47" s="25"/>
      <c r="K47" s="25"/>
      <c r="L47" s="25"/>
      <c r="M47" s="25"/>
      <c r="N47" s="25"/>
      <c r="O47" s="25"/>
      <c r="P47" s="25"/>
      <c r="Q47" s="25"/>
      <c r="R47" s="25"/>
      <c r="S47" s="25"/>
    </row>
    <row r="48" spans="1:19">
      <c r="A48" s="123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1:H2"/>
    <mergeCell ref="H5:I5"/>
    <mergeCell ref="B6:C6"/>
    <mergeCell ref="E6:F6"/>
    <mergeCell ref="H6:I6"/>
    <mergeCell ref="B7:I7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4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265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6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7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114300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8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9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38100</xdr:rowOff>
                  </from>
                  <to>
                    <xdr:col>4</xdr:col>
                    <xdr:colOff>400050</xdr:colOff>
                    <xdr:row>32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0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1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180975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2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190500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3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4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5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6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38100</xdr:rowOff>
                  </from>
                  <to>
                    <xdr:col>9</xdr:col>
                    <xdr:colOff>28575</xdr:colOff>
                    <xdr:row>30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7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8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9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0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1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18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2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3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4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5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6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7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8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9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0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1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2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3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4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5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6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514350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7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8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209550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9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171450</xdr:rowOff>
                  </from>
                  <to>
                    <xdr:col>1</xdr:col>
                    <xdr:colOff>695325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0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1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2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3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4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5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133350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6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142875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7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590550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8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171450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9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0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1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2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3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4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133350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5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142875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6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838F24D-7A84-4508-9B69-7548F9549119}">
          <x14:formula1>
            <xm:f>near_miss_excel_view!$C:$C</xm:f>
          </x14:formula1>
          <xm:sqref>B7:I7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6ACBC-DB04-46BD-AABC-D01624E7CB97}">
  <sheetPr>
    <tabColor rgb="FFFFFF00"/>
    <pageSetUpPr fitToPage="1"/>
  </sheetPr>
  <dimension ref="A1:S48"/>
  <sheetViews>
    <sheetView showGridLines="0" view="pageBreakPreview" topLeftCell="A13" zoomScale="115" zoomScaleNormal="100" zoomScaleSheetLayoutView="115" workbookViewId="0">
      <selection activeCell="O23" sqref="O23"/>
    </sheetView>
  </sheetViews>
  <sheetFormatPr defaultColWidth="9" defaultRowHeight="17.25"/>
  <cols>
    <col min="1" max="1" width="21.375" style="9" customWidth="1"/>
    <col min="2" max="2" width="11.125" style="9" customWidth="1"/>
    <col min="3" max="3" width="8.625" style="9" customWidth="1"/>
    <col min="4" max="4" width="9" style="9"/>
    <col min="5" max="6" width="8" style="9" customWidth="1"/>
    <col min="7" max="7" width="8.875" style="9" bestFit="1" customWidth="1"/>
    <col min="8" max="8" width="11.25" style="9" customWidth="1"/>
    <col min="9" max="9" width="10.75" style="9" customWidth="1"/>
    <col min="10" max="10" width="10.625" style="10" customWidth="1"/>
    <col min="11" max="11" width="5.25" style="10" customWidth="1"/>
    <col min="12" max="12" width="10.625" style="10" customWidth="1"/>
    <col min="13" max="13" width="5.25" style="10" customWidth="1"/>
    <col min="14" max="14" width="10.625" style="10" customWidth="1"/>
    <col min="15" max="15" width="5.25" style="10" customWidth="1"/>
    <col min="16" max="16" width="15.375" style="10" customWidth="1"/>
    <col min="17" max="17" width="5.25" style="10" customWidth="1"/>
    <col min="18" max="18" width="9" style="10"/>
    <col min="19" max="19" width="5.75" style="10" customWidth="1"/>
    <col min="20" max="256" width="9" style="9"/>
    <col min="257" max="257" width="21.375" style="9" customWidth="1"/>
    <col min="258" max="258" width="11.125" style="9" customWidth="1"/>
    <col min="259" max="259" width="10.75" style="9" customWidth="1"/>
    <col min="260" max="260" width="9" style="9"/>
    <col min="261" max="262" width="8" style="9" customWidth="1"/>
    <col min="263" max="263" width="8.875" style="9" bestFit="1" customWidth="1"/>
    <col min="264" max="265" width="11.25" style="9" customWidth="1"/>
    <col min="266" max="512" width="9" style="9"/>
    <col min="513" max="513" width="21.375" style="9" customWidth="1"/>
    <col min="514" max="514" width="11.125" style="9" customWidth="1"/>
    <col min="515" max="515" width="10.75" style="9" customWidth="1"/>
    <col min="516" max="516" width="9" style="9"/>
    <col min="517" max="518" width="8" style="9" customWidth="1"/>
    <col min="519" max="519" width="8.875" style="9" bestFit="1" customWidth="1"/>
    <col min="520" max="521" width="11.25" style="9" customWidth="1"/>
    <col min="522" max="768" width="9" style="9"/>
    <col min="769" max="769" width="21.375" style="9" customWidth="1"/>
    <col min="770" max="770" width="11.125" style="9" customWidth="1"/>
    <col min="771" max="771" width="10.75" style="9" customWidth="1"/>
    <col min="772" max="772" width="9" style="9"/>
    <col min="773" max="774" width="8" style="9" customWidth="1"/>
    <col min="775" max="775" width="8.875" style="9" bestFit="1" customWidth="1"/>
    <col min="776" max="777" width="11.25" style="9" customWidth="1"/>
    <col min="778" max="1024" width="9" style="9"/>
    <col min="1025" max="1025" width="21.375" style="9" customWidth="1"/>
    <col min="1026" max="1026" width="11.125" style="9" customWidth="1"/>
    <col min="1027" max="1027" width="10.75" style="9" customWidth="1"/>
    <col min="1028" max="1028" width="9" style="9"/>
    <col min="1029" max="1030" width="8" style="9" customWidth="1"/>
    <col min="1031" max="1031" width="8.875" style="9" bestFit="1" customWidth="1"/>
    <col min="1032" max="1033" width="11.25" style="9" customWidth="1"/>
    <col min="1034" max="1280" width="9" style="9"/>
    <col min="1281" max="1281" width="21.375" style="9" customWidth="1"/>
    <col min="1282" max="1282" width="11.125" style="9" customWidth="1"/>
    <col min="1283" max="1283" width="10.75" style="9" customWidth="1"/>
    <col min="1284" max="1284" width="9" style="9"/>
    <col min="1285" max="1286" width="8" style="9" customWidth="1"/>
    <col min="1287" max="1287" width="8.875" style="9" bestFit="1" customWidth="1"/>
    <col min="1288" max="1289" width="11.25" style="9" customWidth="1"/>
    <col min="1290" max="1536" width="9" style="9"/>
    <col min="1537" max="1537" width="21.375" style="9" customWidth="1"/>
    <col min="1538" max="1538" width="11.125" style="9" customWidth="1"/>
    <col min="1539" max="1539" width="10.75" style="9" customWidth="1"/>
    <col min="1540" max="1540" width="9" style="9"/>
    <col min="1541" max="1542" width="8" style="9" customWidth="1"/>
    <col min="1543" max="1543" width="8.875" style="9" bestFit="1" customWidth="1"/>
    <col min="1544" max="1545" width="11.25" style="9" customWidth="1"/>
    <col min="1546" max="1792" width="9" style="9"/>
    <col min="1793" max="1793" width="21.375" style="9" customWidth="1"/>
    <col min="1794" max="1794" width="11.125" style="9" customWidth="1"/>
    <col min="1795" max="1795" width="10.75" style="9" customWidth="1"/>
    <col min="1796" max="1796" width="9" style="9"/>
    <col min="1797" max="1798" width="8" style="9" customWidth="1"/>
    <col min="1799" max="1799" width="8.875" style="9" bestFit="1" customWidth="1"/>
    <col min="1800" max="1801" width="11.25" style="9" customWidth="1"/>
    <col min="1802" max="2048" width="9" style="9"/>
    <col min="2049" max="2049" width="21.375" style="9" customWidth="1"/>
    <col min="2050" max="2050" width="11.125" style="9" customWidth="1"/>
    <col min="2051" max="2051" width="10.75" style="9" customWidth="1"/>
    <col min="2052" max="2052" width="9" style="9"/>
    <col min="2053" max="2054" width="8" style="9" customWidth="1"/>
    <col min="2055" max="2055" width="8.875" style="9" bestFit="1" customWidth="1"/>
    <col min="2056" max="2057" width="11.25" style="9" customWidth="1"/>
    <col min="2058" max="2304" width="9" style="9"/>
    <col min="2305" max="2305" width="21.375" style="9" customWidth="1"/>
    <col min="2306" max="2306" width="11.125" style="9" customWidth="1"/>
    <col min="2307" max="2307" width="10.75" style="9" customWidth="1"/>
    <col min="2308" max="2308" width="9" style="9"/>
    <col min="2309" max="2310" width="8" style="9" customWidth="1"/>
    <col min="2311" max="2311" width="8.875" style="9" bestFit="1" customWidth="1"/>
    <col min="2312" max="2313" width="11.25" style="9" customWidth="1"/>
    <col min="2314" max="2560" width="9" style="9"/>
    <col min="2561" max="2561" width="21.375" style="9" customWidth="1"/>
    <col min="2562" max="2562" width="11.125" style="9" customWidth="1"/>
    <col min="2563" max="2563" width="10.75" style="9" customWidth="1"/>
    <col min="2564" max="2564" width="9" style="9"/>
    <col min="2565" max="2566" width="8" style="9" customWidth="1"/>
    <col min="2567" max="2567" width="8.875" style="9" bestFit="1" customWidth="1"/>
    <col min="2568" max="2569" width="11.25" style="9" customWidth="1"/>
    <col min="2570" max="2816" width="9" style="9"/>
    <col min="2817" max="2817" width="21.375" style="9" customWidth="1"/>
    <col min="2818" max="2818" width="11.125" style="9" customWidth="1"/>
    <col min="2819" max="2819" width="10.75" style="9" customWidth="1"/>
    <col min="2820" max="2820" width="9" style="9"/>
    <col min="2821" max="2822" width="8" style="9" customWidth="1"/>
    <col min="2823" max="2823" width="8.875" style="9" bestFit="1" customWidth="1"/>
    <col min="2824" max="2825" width="11.25" style="9" customWidth="1"/>
    <col min="2826" max="3072" width="9" style="9"/>
    <col min="3073" max="3073" width="21.375" style="9" customWidth="1"/>
    <col min="3074" max="3074" width="11.125" style="9" customWidth="1"/>
    <col min="3075" max="3075" width="10.75" style="9" customWidth="1"/>
    <col min="3076" max="3076" width="9" style="9"/>
    <col min="3077" max="3078" width="8" style="9" customWidth="1"/>
    <col min="3079" max="3079" width="8.875" style="9" bestFit="1" customWidth="1"/>
    <col min="3080" max="3081" width="11.25" style="9" customWidth="1"/>
    <col min="3082" max="3328" width="9" style="9"/>
    <col min="3329" max="3329" width="21.375" style="9" customWidth="1"/>
    <col min="3330" max="3330" width="11.125" style="9" customWidth="1"/>
    <col min="3331" max="3331" width="10.75" style="9" customWidth="1"/>
    <col min="3332" max="3332" width="9" style="9"/>
    <col min="3333" max="3334" width="8" style="9" customWidth="1"/>
    <col min="3335" max="3335" width="8.875" style="9" bestFit="1" customWidth="1"/>
    <col min="3336" max="3337" width="11.25" style="9" customWidth="1"/>
    <col min="3338" max="3584" width="9" style="9"/>
    <col min="3585" max="3585" width="21.375" style="9" customWidth="1"/>
    <col min="3586" max="3586" width="11.125" style="9" customWidth="1"/>
    <col min="3587" max="3587" width="10.75" style="9" customWidth="1"/>
    <col min="3588" max="3588" width="9" style="9"/>
    <col min="3589" max="3590" width="8" style="9" customWidth="1"/>
    <col min="3591" max="3591" width="8.875" style="9" bestFit="1" customWidth="1"/>
    <col min="3592" max="3593" width="11.25" style="9" customWidth="1"/>
    <col min="3594" max="3840" width="9" style="9"/>
    <col min="3841" max="3841" width="21.375" style="9" customWidth="1"/>
    <col min="3842" max="3842" width="11.125" style="9" customWidth="1"/>
    <col min="3843" max="3843" width="10.75" style="9" customWidth="1"/>
    <col min="3844" max="3844" width="9" style="9"/>
    <col min="3845" max="3846" width="8" style="9" customWidth="1"/>
    <col min="3847" max="3847" width="8.875" style="9" bestFit="1" customWidth="1"/>
    <col min="3848" max="3849" width="11.25" style="9" customWidth="1"/>
    <col min="3850" max="4096" width="9" style="9"/>
    <col min="4097" max="4097" width="21.375" style="9" customWidth="1"/>
    <col min="4098" max="4098" width="11.125" style="9" customWidth="1"/>
    <col min="4099" max="4099" width="10.75" style="9" customWidth="1"/>
    <col min="4100" max="4100" width="9" style="9"/>
    <col min="4101" max="4102" width="8" style="9" customWidth="1"/>
    <col min="4103" max="4103" width="8.875" style="9" bestFit="1" customWidth="1"/>
    <col min="4104" max="4105" width="11.25" style="9" customWidth="1"/>
    <col min="4106" max="4352" width="9" style="9"/>
    <col min="4353" max="4353" width="21.375" style="9" customWidth="1"/>
    <col min="4354" max="4354" width="11.125" style="9" customWidth="1"/>
    <col min="4355" max="4355" width="10.75" style="9" customWidth="1"/>
    <col min="4356" max="4356" width="9" style="9"/>
    <col min="4357" max="4358" width="8" style="9" customWidth="1"/>
    <col min="4359" max="4359" width="8.875" style="9" bestFit="1" customWidth="1"/>
    <col min="4360" max="4361" width="11.25" style="9" customWidth="1"/>
    <col min="4362" max="4608" width="9" style="9"/>
    <col min="4609" max="4609" width="21.375" style="9" customWidth="1"/>
    <col min="4610" max="4610" width="11.125" style="9" customWidth="1"/>
    <col min="4611" max="4611" width="10.75" style="9" customWidth="1"/>
    <col min="4612" max="4612" width="9" style="9"/>
    <col min="4613" max="4614" width="8" style="9" customWidth="1"/>
    <col min="4615" max="4615" width="8.875" style="9" bestFit="1" customWidth="1"/>
    <col min="4616" max="4617" width="11.25" style="9" customWidth="1"/>
    <col min="4618" max="4864" width="9" style="9"/>
    <col min="4865" max="4865" width="21.375" style="9" customWidth="1"/>
    <col min="4866" max="4866" width="11.125" style="9" customWidth="1"/>
    <col min="4867" max="4867" width="10.75" style="9" customWidth="1"/>
    <col min="4868" max="4868" width="9" style="9"/>
    <col min="4869" max="4870" width="8" style="9" customWidth="1"/>
    <col min="4871" max="4871" width="8.875" style="9" bestFit="1" customWidth="1"/>
    <col min="4872" max="4873" width="11.25" style="9" customWidth="1"/>
    <col min="4874" max="5120" width="9" style="9"/>
    <col min="5121" max="5121" width="21.375" style="9" customWidth="1"/>
    <col min="5122" max="5122" width="11.125" style="9" customWidth="1"/>
    <col min="5123" max="5123" width="10.75" style="9" customWidth="1"/>
    <col min="5124" max="5124" width="9" style="9"/>
    <col min="5125" max="5126" width="8" style="9" customWidth="1"/>
    <col min="5127" max="5127" width="8.875" style="9" bestFit="1" customWidth="1"/>
    <col min="5128" max="5129" width="11.25" style="9" customWidth="1"/>
    <col min="5130" max="5376" width="9" style="9"/>
    <col min="5377" max="5377" width="21.375" style="9" customWidth="1"/>
    <col min="5378" max="5378" width="11.125" style="9" customWidth="1"/>
    <col min="5379" max="5379" width="10.75" style="9" customWidth="1"/>
    <col min="5380" max="5380" width="9" style="9"/>
    <col min="5381" max="5382" width="8" style="9" customWidth="1"/>
    <col min="5383" max="5383" width="8.875" style="9" bestFit="1" customWidth="1"/>
    <col min="5384" max="5385" width="11.25" style="9" customWidth="1"/>
    <col min="5386" max="5632" width="9" style="9"/>
    <col min="5633" max="5633" width="21.375" style="9" customWidth="1"/>
    <col min="5634" max="5634" width="11.125" style="9" customWidth="1"/>
    <col min="5635" max="5635" width="10.75" style="9" customWidth="1"/>
    <col min="5636" max="5636" width="9" style="9"/>
    <col min="5637" max="5638" width="8" style="9" customWidth="1"/>
    <col min="5639" max="5639" width="8.875" style="9" bestFit="1" customWidth="1"/>
    <col min="5640" max="5641" width="11.25" style="9" customWidth="1"/>
    <col min="5642" max="5888" width="9" style="9"/>
    <col min="5889" max="5889" width="21.375" style="9" customWidth="1"/>
    <col min="5890" max="5890" width="11.125" style="9" customWidth="1"/>
    <col min="5891" max="5891" width="10.75" style="9" customWidth="1"/>
    <col min="5892" max="5892" width="9" style="9"/>
    <col min="5893" max="5894" width="8" style="9" customWidth="1"/>
    <col min="5895" max="5895" width="8.875" style="9" bestFit="1" customWidth="1"/>
    <col min="5896" max="5897" width="11.25" style="9" customWidth="1"/>
    <col min="5898" max="6144" width="9" style="9"/>
    <col min="6145" max="6145" width="21.375" style="9" customWidth="1"/>
    <col min="6146" max="6146" width="11.125" style="9" customWidth="1"/>
    <col min="6147" max="6147" width="10.75" style="9" customWidth="1"/>
    <col min="6148" max="6148" width="9" style="9"/>
    <col min="6149" max="6150" width="8" style="9" customWidth="1"/>
    <col min="6151" max="6151" width="8.875" style="9" bestFit="1" customWidth="1"/>
    <col min="6152" max="6153" width="11.25" style="9" customWidth="1"/>
    <col min="6154" max="6400" width="9" style="9"/>
    <col min="6401" max="6401" width="21.375" style="9" customWidth="1"/>
    <col min="6402" max="6402" width="11.125" style="9" customWidth="1"/>
    <col min="6403" max="6403" width="10.75" style="9" customWidth="1"/>
    <col min="6404" max="6404" width="9" style="9"/>
    <col min="6405" max="6406" width="8" style="9" customWidth="1"/>
    <col min="6407" max="6407" width="8.875" style="9" bestFit="1" customWidth="1"/>
    <col min="6408" max="6409" width="11.25" style="9" customWidth="1"/>
    <col min="6410" max="6656" width="9" style="9"/>
    <col min="6657" max="6657" width="21.375" style="9" customWidth="1"/>
    <col min="6658" max="6658" width="11.125" style="9" customWidth="1"/>
    <col min="6659" max="6659" width="10.75" style="9" customWidth="1"/>
    <col min="6660" max="6660" width="9" style="9"/>
    <col min="6661" max="6662" width="8" style="9" customWidth="1"/>
    <col min="6663" max="6663" width="8.875" style="9" bestFit="1" customWidth="1"/>
    <col min="6664" max="6665" width="11.25" style="9" customWidth="1"/>
    <col min="6666" max="6912" width="9" style="9"/>
    <col min="6913" max="6913" width="21.375" style="9" customWidth="1"/>
    <col min="6914" max="6914" width="11.125" style="9" customWidth="1"/>
    <col min="6915" max="6915" width="10.75" style="9" customWidth="1"/>
    <col min="6916" max="6916" width="9" style="9"/>
    <col min="6917" max="6918" width="8" style="9" customWidth="1"/>
    <col min="6919" max="6919" width="8.875" style="9" bestFit="1" customWidth="1"/>
    <col min="6920" max="6921" width="11.25" style="9" customWidth="1"/>
    <col min="6922" max="7168" width="9" style="9"/>
    <col min="7169" max="7169" width="21.375" style="9" customWidth="1"/>
    <col min="7170" max="7170" width="11.125" style="9" customWidth="1"/>
    <col min="7171" max="7171" width="10.75" style="9" customWidth="1"/>
    <col min="7172" max="7172" width="9" style="9"/>
    <col min="7173" max="7174" width="8" style="9" customWidth="1"/>
    <col min="7175" max="7175" width="8.875" style="9" bestFit="1" customWidth="1"/>
    <col min="7176" max="7177" width="11.25" style="9" customWidth="1"/>
    <col min="7178" max="7424" width="9" style="9"/>
    <col min="7425" max="7425" width="21.375" style="9" customWidth="1"/>
    <col min="7426" max="7426" width="11.125" style="9" customWidth="1"/>
    <col min="7427" max="7427" width="10.75" style="9" customWidth="1"/>
    <col min="7428" max="7428" width="9" style="9"/>
    <col min="7429" max="7430" width="8" style="9" customWidth="1"/>
    <col min="7431" max="7431" width="8.875" style="9" bestFit="1" customWidth="1"/>
    <col min="7432" max="7433" width="11.25" style="9" customWidth="1"/>
    <col min="7434" max="7680" width="9" style="9"/>
    <col min="7681" max="7681" width="21.375" style="9" customWidth="1"/>
    <col min="7682" max="7682" width="11.125" style="9" customWidth="1"/>
    <col min="7683" max="7683" width="10.75" style="9" customWidth="1"/>
    <col min="7684" max="7684" width="9" style="9"/>
    <col min="7685" max="7686" width="8" style="9" customWidth="1"/>
    <col min="7687" max="7687" width="8.875" style="9" bestFit="1" customWidth="1"/>
    <col min="7688" max="7689" width="11.25" style="9" customWidth="1"/>
    <col min="7690" max="7936" width="9" style="9"/>
    <col min="7937" max="7937" width="21.375" style="9" customWidth="1"/>
    <col min="7938" max="7938" width="11.125" style="9" customWidth="1"/>
    <col min="7939" max="7939" width="10.75" style="9" customWidth="1"/>
    <col min="7940" max="7940" width="9" style="9"/>
    <col min="7941" max="7942" width="8" style="9" customWidth="1"/>
    <col min="7943" max="7943" width="8.875" style="9" bestFit="1" customWidth="1"/>
    <col min="7944" max="7945" width="11.25" style="9" customWidth="1"/>
    <col min="7946" max="8192" width="9" style="9"/>
    <col min="8193" max="8193" width="21.375" style="9" customWidth="1"/>
    <col min="8194" max="8194" width="11.125" style="9" customWidth="1"/>
    <col min="8195" max="8195" width="10.75" style="9" customWidth="1"/>
    <col min="8196" max="8196" width="9" style="9"/>
    <col min="8197" max="8198" width="8" style="9" customWidth="1"/>
    <col min="8199" max="8199" width="8.875" style="9" bestFit="1" customWidth="1"/>
    <col min="8200" max="8201" width="11.25" style="9" customWidth="1"/>
    <col min="8202" max="8448" width="9" style="9"/>
    <col min="8449" max="8449" width="21.375" style="9" customWidth="1"/>
    <col min="8450" max="8450" width="11.125" style="9" customWidth="1"/>
    <col min="8451" max="8451" width="10.75" style="9" customWidth="1"/>
    <col min="8452" max="8452" width="9" style="9"/>
    <col min="8453" max="8454" width="8" style="9" customWidth="1"/>
    <col min="8455" max="8455" width="8.875" style="9" bestFit="1" customWidth="1"/>
    <col min="8456" max="8457" width="11.25" style="9" customWidth="1"/>
    <col min="8458" max="8704" width="9" style="9"/>
    <col min="8705" max="8705" width="21.375" style="9" customWidth="1"/>
    <col min="8706" max="8706" width="11.125" style="9" customWidth="1"/>
    <col min="8707" max="8707" width="10.75" style="9" customWidth="1"/>
    <col min="8708" max="8708" width="9" style="9"/>
    <col min="8709" max="8710" width="8" style="9" customWidth="1"/>
    <col min="8711" max="8711" width="8.875" style="9" bestFit="1" customWidth="1"/>
    <col min="8712" max="8713" width="11.25" style="9" customWidth="1"/>
    <col min="8714" max="8960" width="9" style="9"/>
    <col min="8961" max="8961" width="21.375" style="9" customWidth="1"/>
    <col min="8962" max="8962" width="11.125" style="9" customWidth="1"/>
    <col min="8963" max="8963" width="10.75" style="9" customWidth="1"/>
    <col min="8964" max="8964" width="9" style="9"/>
    <col min="8965" max="8966" width="8" style="9" customWidth="1"/>
    <col min="8967" max="8967" width="8.875" style="9" bestFit="1" customWidth="1"/>
    <col min="8968" max="8969" width="11.25" style="9" customWidth="1"/>
    <col min="8970" max="9216" width="9" style="9"/>
    <col min="9217" max="9217" width="21.375" style="9" customWidth="1"/>
    <col min="9218" max="9218" width="11.125" style="9" customWidth="1"/>
    <col min="9219" max="9219" width="10.75" style="9" customWidth="1"/>
    <col min="9220" max="9220" width="9" style="9"/>
    <col min="9221" max="9222" width="8" style="9" customWidth="1"/>
    <col min="9223" max="9223" width="8.875" style="9" bestFit="1" customWidth="1"/>
    <col min="9224" max="9225" width="11.25" style="9" customWidth="1"/>
    <col min="9226" max="9472" width="9" style="9"/>
    <col min="9473" max="9473" width="21.375" style="9" customWidth="1"/>
    <col min="9474" max="9474" width="11.125" style="9" customWidth="1"/>
    <col min="9475" max="9475" width="10.75" style="9" customWidth="1"/>
    <col min="9476" max="9476" width="9" style="9"/>
    <col min="9477" max="9478" width="8" style="9" customWidth="1"/>
    <col min="9479" max="9479" width="8.875" style="9" bestFit="1" customWidth="1"/>
    <col min="9480" max="9481" width="11.25" style="9" customWidth="1"/>
    <col min="9482" max="9728" width="9" style="9"/>
    <col min="9729" max="9729" width="21.375" style="9" customWidth="1"/>
    <col min="9730" max="9730" width="11.125" style="9" customWidth="1"/>
    <col min="9731" max="9731" width="10.75" style="9" customWidth="1"/>
    <col min="9732" max="9732" width="9" style="9"/>
    <col min="9733" max="9734" width="8" style="9" customWidth="1"/>
    <col min="9735" max="9735" width="8.875" style="9" bestFit="1" customWidth="1"/>
    <col min="9736" max="9737" width="11.25" style="9" customWidth="1"/>
    <col min="9738" max="9984" width="9" style="9"/>
    <col min="9985" max="9985" width="21.375" style="9" customWidth="1"/>
    <col min="9986" max="9986" width="11.125" style="9" customWidth="1"/>
    <col min="9987" max="9987" width="10.75" style="9" customWidth="1"/>
    <col min="9988" max="9988" width="9" style="9"/>
    <col min="9989" max="9990" width="8" style="9" customWidth="1"/>
    <col min="9991" max="9991" width="8.875" style="9" bestFit="1" customWidth="1"/>
    <col min="9992" max="9993" width="11.25" style="9" customWidth="1"/>
    <col min="9994" max="10240" width="9" style="9"/>
    <col min="10241" max="10241" width="21.375" style="9" customWidth="1"/>
    <col min="10242" max="10242" width="11.125" style="9" customWidth="1"/>
    <col min="10243" max="10243" width="10.75" style="9" customWidth="1"/>
    <col min="10244" max="10244" width="9" style="9"/>
    <col min="10245" max="10246" width="8" style="9" customWidth="1"/>
    <col min="10247" max="10247" width="8.875" style="9" bestFit="1" customWidth="1"/>
    <col min="10248" max="10249" width="11.25" style="9" customWidth="1"/>
    <col min="10250" max="10496" width="9" style="9"/>
    <col min="10497" max="10497" width="21.375" style="9" customWidth="1"/>
    <col min="10498" max="10498" width="11.125" style="9" customWidth="1"/>
    <col min="10499" max="10499" width="10.75" style="9" customWidth="1"/>
    <col min="10500" max="10500" width="9" style="9"/>
    <col min="10501" max="10502" width="8" style="9" customWidth="1"/>
    <col min="10503" max="10503" width="8.875" style="9" bestFit="1" customWidth="1"/>
    <col min="10504" max="10505" width="11.25" style="9" customWidth="1"/>
    <col min="10506" max="10752" width="9" style="9"/>
    <col min="10753" max="10753" width="21.375" style="9" customWidth="1"/>
    <col min="10754" max="10754" width="11.125" style="9" customWidth="1"/>
    <col min="10755" max="10755" width="10.75" style="9" customWidth="1"/>
    <col min="10756" max="10756" width="9" style="9"/>
    <col min="10757" max="10758" width="8" style="9" customWidth="1"/>
    <col min="10759" max="10759" width="8.875" style="9" bestFit="1" customWidth="1"/>
    <col min="10760" max="10761" width="11.25" style="9" customWidth="1"/>
    <col min="10762" max="11008" width="9" style="9"/>
    <col min="11009" max="11009" width="21.375" style="9" customWidth="1"/>
    <col min="11010" max="11010" width="11.125" style="9" customWidth="1"/>
    <col min="11011" max="11011" width="10.75" style="9" customWidth="1"/>
    <col min="11012" max="11012" width="9" style="9"/>
    <col min="11013" max="11014" width="8" style="9" customWidth="1"/>
    <col min="11015" max="11015" width="8.875" style="9" bestFit="1" customWidth="1"/>
    <col min="11016" max="11017" width="11.25" style="9" customWidth="1"/>
    <col min="11018" max="11264" width="9" style="9"/>
    <col min="11265" max="11265" width="21.375" style="9" customWidth="1"/>
    <col min="11266" max="11266" width="11.125" style="9" customWidth="1"/>
    <col min="11267" max="11267" width="10.75" style="9" customWidth="1"/>
    <col min="11268" max="11268" width="9" style="9"/>
    <col min="11269" max="11270" width="8" style="9" customWidth="1"/>
    <col min="11271" max="11271" width="8.875" style="9" bestFit="1" customWidth="1"/>
    <col min="11272" max="11273" width="11.25" style="9" customWidth="1"/>
    <col min="11274" max="11520" width="9" style="9"/>
    <col min="11521" max="11521" width="21.375" style="9" customWidth="1"/>
    <col min="11522" max="11522" width="11.125" style="9" customWidth="1"/>
    <col min="11523" max="11523" width="10.75" style="9" customWidth="1"/>
    <col min="11524" max="11524" width="9" style="9"/>
    <col min="11525" max="11526" width="8" style="9" customWidth="1"/>
    <col min="11527" max="11527" width="8.875" style="9" bestFit="1" customWidth="1"/>
    <col min="11528" max="11529" width="11.25" style="9" customWidth="1"/>
    <col min="11530" max="11776" width="9" style="9"/>
    <col min="11777" max="11777" width="21.375" style="9" customWidth="1"/>
    <col min="11778" max="11778" width="11.125" style="9" customWidth="1"/>
    <col min="11779" max="11779" width="10.75" style="9" customWidth="1"/>
    <col min="11780" max="11780" width="9" style="9"/>
    <col min="11781" max="11782" width="8" style="9" customWidth="1"/>
    <col min="11783" max="11783" width="8.875" style="9" bestFit="1" customWidth="1"/>
    <col min="11784" max="11785" width="11.25" style="9" customWidth="1"/>
    <col min="11786" max="12032" width="9" style="9"/>
    <col min="12033" max="12033" width="21.375" style="9" customWidth="1"/>
    <col min="12034" max="12034" width="11.125" style="9" customWidth="1"/>
    <col min="12035" max="12035" width="10.75" style="9" customWidth="1"/>
    <col min="12036" max="12036" width="9" style="9"/>
    <col min="12037" max="12038" width="8" style="9" customWidth="1"/>
    <col min="12039" max="12039" width="8.875" style="9" bestFit="1" customWidth="1"/>
    <col min="12040" max="12041" width="11.25" style="9" customWidth="1"/>
    <col min="12042" max="12288" width="9" style="9"/>
    <col min="12289" max="12289" width="21.375" style="9" customWidth="1"/>
    <col min="12290" max="12290" width="11.125" style="9" customWidth="1"/>
    <col min="12291" max="12291" width="10.75" style="9" customWidth="1"/>
    <col min="12292" max="12292" width="9" style="9"/>
    <col min="12293" max="12294" width="8" style="9" customWidth="1"/>
    <col min="12295" max="12295" width="8.875" style="9" bestFit="1" customWidth="1"/>
    <col min="12296" max="12297" width="11.25" style="9" customWidth="1"/>
    <col min="12298" max="12544" width="9" style="9"/>
    <col min="12545" max="12545" width="21.375" style="9" customWidth="1"/>
    <col min="12546" max="12546" width="11.125" style="9" customWidth="1"/>
    <col min="12547" max="12547" width="10.75" style="9" customWidth="1"/>
    <col min="12548" max="12548" width="9" style="9"/>
    <col min="12549" max="12550" width="8" style="9" customWidth="1"/>
    <col min="12551" max="12551" width="8.875" style="9" bestFit="1" customWidth="1"/>
    <col min="12552" max="12553" width="11.25" style="9" customWidth="1"/>
    <col min="12554" max="12800" width="9" style="9"/>
    <col min="12801" max="12801" width="21.375" style="9" customWidth="1"/>
    <col min="12802" max="12802" width="11.125" style="9" customWidth="1"/>
    <col min="12803" max="12803" width="10.75" style="9" customWidth="1"/>
    <col min="12804" max="12804" width="9" style="9"/>
    <col min="12805" max="12806" width="8" style="9" customWidth="1"/>
    <col min="12807" max="12807" width="8.875" style="9" bestFit="1" customWidth="1"/>
    <col min="12808" max="12809" width="11.25" style="9" customWidth="1"/>
    <col min="12810" max="13056" width="9" style="9"/>
    <col min="13057" max="13057" width="21.375" style="9" customWidth="1"/>
    <col min="13058" max="13058" width="11.125" style="9" customWidth="1"/>
    <col min="13059" max="13059" width="10.75" style="9" customWidth="1"/>
    <col min="13060" max="13060" width="9" style="9"/>
    <col min="13061" max="13062" width="8" style="9" customWidth="1"/>
    <col min="13063" max="13063" width="8.875" style="9" bestFit="1" customWidth="1"/>
    <col min="13064" max="13065" width="11.25" style="9" customWidth="1"/>
    <col min="13066" max="13312" width="9" style="9"/>
    <col min="13313" max="13313" width="21.375" style="9" customWidth="1"/>
    <col min="13314" max="13314" width="11.125" style="9" customWidth="1"/>
    <col min="13315" max="13315" width="10.75" style="9" customWidth="1"/>
    <col min="13316" max="13316" width="9" style="9"/>
    <col min="13317" max="13318" width="8" style="9" customWidth="1"/>
    <col min="13319" max="13319" width="8.875" style="9" bestFit="1" customWidth="1"/>
    <col min="13320" max="13321" width="11.25" style="9" customWidth="1"/>
    <col min="13322" max="13568" width="9" style="9"/>
    <col min="13569" max="13569" width="21.375" style="9" customWidth="1"/>
    <col min="13570" max="13570" width="11.125" style="9" customWidth="1"/>
    <col min="13571" max="13571" width="10.75" style="9" customWidth="1"/>
    <col min="13572" max="13572" width="9" style="9"/>
    <col min="13573" max="13574" width="8" style="9" customWidth="1"/>
    <col min="13575" max="13575" width="8.875" style="9" bestFit="1" customWidth="1"/>
    <col min="13576" max="13577" width="11.25" style="9" customWidth="1"/>
    <col min="13578" max="13824" width="9" style="9"/>
    <col min="13825" max="13825" width="21.375" style="9" customWidth="1"/>
    <col min="13826" max="13826" width="11.125" style="9" customWidth="1"/>
    <col min="13827" max="13827" width="10.75" style="9" customWidth="1"/>
    <col min="13828" max="13828" width="9" style="9"/>
    <col min="13829" max="13830" width="8" style="9" customWidth="1"/>
    <col min="13831" max="13831" width="8.875" style="9" bestFit="1" customWidth="1"/>
    <col min="13832" max="13833" width="11.25" style="9" customWidth="1"/>
    <col min="13834" max="14080" width="9" style="9"/>
    <col min="14081" max="14081" width="21.375" style="9" customWidth="1"/>
    <col min="14082" max="14082" width="11.125" style="9" customWidth="1"/>
    <col min="14083" max="14083" width="10.75" style="9" customWidth="1"/>
    <col min="14084" max="14084" width="9" style="9"/>
    <col min="14085" max="14086" width="8" style="9" customWidth="1"/>
    <col min="14087" max="14087" width="8.875" style="9" bestFit="1" customWidth="1"/>
    <col min="14088" max="14089" width="11.25" style="9" customWidth="1"/>
    <col min="14090" max="14336" width="9" style="9"/>
    <col min="14337" max="14337" width="21.375" style="9" customWidth="1"/>
    <col min="14338" max="14338" width="11.125" style="9" customWidth="1"/>
    <col min="14339" max="14339" width="10.75" style="9" customWidth="1"/>
    <col min="14340" max="14340" width="9" style="9"/>
    <col min="14341" max="14342" width="8" style="9" customWidth="1"/>
    <col min="14343" max="14343" width="8.875" style="9" bestFit="1" customWidth="1"/>
    <col min="14344" max="14345" width="11.25" style="9" customWidth="1"/>
    <col min="14346" max="14592" width="9" style="9"/>
    <col min="14593" max="14593" width="21.375" style="9" customWidth="1"/>
    <col min="14594" max="14594" width="11.125" style="9" customWidth="1"/>
    <col min="14595" max="14595" width="10.75" style="9" customWidth="1"/>
    <col min="14596" max="14596" width="9" style="9"/>
    <col min="14597" max="14598" width="8" style="9" customWidth="1"/>
    <col min="14599" max="14599" width="8.875" style="9" bestFit="1" customWidth="1"/>
    <col min="14600" max="14601" width="11.25" style="9" customWidth="1"/>
    <col min="14602" max="14848" width="9" style="9"/>
    <col min="14849" max="14849" width="21.375" style="9" customWidth="1"/>
    <col min="14850" max="14850" width="11.125" style="9" customWidth="1"/>
    <col min="14851" max="14851" width="10.75" style="9" customWidth="1"/>
    <col min="14852" max="14852" width="9" style="9"/>
    <col min="14853" max="14854" width="8" style="9" customWidth="1"/>
    <col min="14855" max="14855" width="8.875" style="9" bestFit="1" customWidth="1"/>
    <col min="14856" max="14857" width="11.25" style="9" customWidth="1"/>
    <col min="14858" max="15104" width="9" style="9"/>
    <col min="15105" max="15105" width="21.375" style="9" customWidth="1"/>
    <col min="15106" max="15106" width="11.125" style="9" customWidth="1"/>
    <col min="15107" max="15107" width="10.75" style="9" customWidth="1"/>
    <col min="15108" max="15108" width="9" style="9"/>
    <col min="15109" max="15110" width="8" style="9" customWidth="1"/>
    <col min="15111" max="15111" width="8.875" style="9" bestFit="1" customWidth="1"/>
    <col min="15112" max="15113" width="11.25" style="9" customWidth="1"/>
    <col min="15114" max="15360" width="9" style="9"/>
    <col min="15361" max="15361" width="21.375" style="9" customWidth="1"/>
    <col min="15362" max="15362" width="11.125" style="9" customWidth="1"/>
    <col min="15363" max="15363" width="10.75" style="9" customWidth="1"/>
    <col min="15364" max="15364" width="9" style="9"/>
    <col min="15365" max="15366" width="8" style="9" customWidth="1"/>
    <col min="15367" max="15367" width="8.875" style="9" bestFit="1" customWidth="1"/>
    <col min="15368" max="15369" width="11.25" style="9" customWidth="1"/>
    <col min="15370" max="15616" width="9" style="9"/>
    <col min="15617" max="15617" width="21.375" style="9" customWidth="1"/>
    <col min="15618" max="15618" width="11.125" style="9" customWidth="1"/>
    <col min="15619" max="15619" width="10.75" style="9" customWidth="1"/>
    <col min="15620" max="15620" width="9" style="9"/>
    <col min="15621" max="15622" width="8" style="9" customWidth="1"/>
    <col min="15623" max="15623" width="8.875" style="9" bestFit="1" customWidth="1"/>
    <col min="15624" max="15625" width="11.25" style="9" customWidth="1"/>
    <col min="15626" max="15872" width="9" style="9"/>
    <col min="15873" max="15873" width="21.375" style="9" customWidth="1"/>
    <col min="15874" max="15874" width="11.125" style="9" customWidth="1"/>
    <col min="15875" max="15875" width="10.75" style="9" customWidth="1"/>
    <col min="15876" max="15876" width="9" style="9"/>
    <col min="15877" max="15878" width="8" style="9" customWidth="1"/>
    <col min="15879" max="15879" width="8.875" style="9" bestFit="1" customWidth="1"/>
    <col min="15880" max="15881" width="11.25" style="9" customWidth="1"/>
    <col min="15882" max="16128" width="9" style="9"/>
    <col min="16129" max="16129" width="21.375" style="9" customWidth="1"/>
    <col min="16130" max="16130" width="11.125" style="9" customWidth="1"/>
    <col min="16131" max="16131" width="10.75" style="9" customWidth="1"/>
    <col min="16132" max="16132" width="9" style="9"/>
    <col min="16133" max="16134" width="8" style="9" customWidth="1"/>
    <col min="16135" max="16135" width="8.875" style="9" bestFit="1" customWidth="1"/>
    <col min="16136" max="16137" width="11.25" style="9" customWidth="1"/>
    <col min="16138" max="16384" width="9" style="9"/>
  </cols>
  <sheetData>
    <row r="1" spans="1:19" s="6" customFormat="1" ht="4.5" customHeight="1">
      <c r="B1" s="7" t="s">
        <v>364</v>
      </c>
      <c r="C1" s="7"/>
      <c r="D1" s="7"/>
      <c r="E1" s="7"/>
      <c r="F1" s="7"/>
      <c r="G1" s="7"/>
      <c r="H1" s="7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ht="27.75" customHeight="1">
      <c r="B2" s="7"/>
      <c r="C2" s="7"/>
      <c r="D2" s="7"/>
      <c r="E2" s="7"/>
      <c r="F2" s="7"/>
      <c r="G2" s="7"/>
      <c r="H2" s="7"/>
    </row>
    <row r="3" spans="1:19" ht="19.5" customHeight="1">
      <c r="A3" s="11" t="s">
        <v>365</v>
      </c>
      <c r="C3" s="12"/>
      <c r="D3" s="13"/>
      <c r="E3" s="14"/>
      <c r="F3" s="14"/>
      <c r="G3" s="14"/>
    </row>
    <row r="4" spans="1:19" ht="19.5" customHeight="1">
      <c r="A4" s="11" t="s">
        <v>366</v>
      </c>
      <c r="C4" s="12"/>
      <c r="D4" s="13"/>
      <c r="E4" s="14"/>
      <c r="F4" s="14"/>
      <c r="G4" s="15"/>
      <c r="H4" s="15"/>
      <c r="I4" s="15"/>
    </row>
    <row r="5" spans="1:19" ht="12" customHeight="1" thickBot="1">
      <c r="G5" s="16"/>
      <c r="H5" s="17" t="str">
        <f>"작성일 : "&amp;TEXT(_xlfn.XLOOKUP(B7,near_miss_excel_view!C:C,near_miss_excel_view!D:D,"없음",0,1),"YY-MM-DD")</f>
        <v>작성일 : 26-04-13</v>
      </c>
      <c r="I5" s="17"/>
    </row>
    <row r="6" spans="1:19" s="26" customFormat="1" ht="18.75" customHeight="1">
      <c r="A6" s="18" t="s">
        <v>367</v>
      </c>
      <c r="B6" s="19" t="s">
        <v>368</v>
      </c>
      <c r="C6" s="20"/>
      <c r="D6" s="21" t="s">
        <v>369</v>
      </c>
      <c r="E6" s="22" t="str">
        <f>_xlfn.XLOOKUP(B7,near_miss_excel_view!C:C,near_miss_excel_view!B:B,"없음",0,1)</f>
        <v>이정민</v>
      </c>
      <c r="F6" s="23"/>
      <c r="G6" s="21" t="s">
        <v>370</v>
      </c>
      <c r="H6" s="22"/>
      <c r="I6" s="24"/>
      <c r="J6" s="25"/>
      <c r="K6" s="25"/>
      <c r="L6" s="25"/>
      <c r="M6" s="25"/>
      <c r="N6" s="25"/>
      <c r="O6" s="25"/>
      <c r="P6" s="25"/>
      <c r="Q6" s="25"/>
      <c r="R6" s="25"/>
      <c r="S6" s="25"/>
    </row>
    <row r="7" spans="1:19" s="26" customFormat="1" ht="18.75" customHeight="1">
      <c r="A7" s="27" t="s">
        <v>371</v>
      </c>
      <c r="B7" s="28" t="s">
        <v>267</v>
      </c>
      <c r="C7" s="29"/>
      <c r="D7" s="29"/>
      <c r="E7" s="29"/>
      <c r="F7" s="29"/>
      <c r="G7" s="29"/>
      <c r="H7" s="29"/>
      <c r="I7" s="30"/>
      <c r="J7" s="25"/>
      <c r="K7" s="25"/>
      <c r="L7" s="25"/>
      <c r="M7" s="25"/>
      <c r="N7" s="25"/>
      <c r="O7" s="25"/>
      <c r="P7" s="25"/>
      <c r="Q7" s="25"/>
      <c r="R7" s="25"/>
      <c r="S7" s="25"/>
    </row>
    <row r="8" spans="1:19" s="26" customFormat="1" ht="4.5" customHeight="1">
      <c r="A8" s="31"/>
      <c r="B8" s="32"/>
      <c r="I8" s="33"/>
      <c r="J8" s="25"/>
      <c r="K8" s="25"/>
      <c r="L8" s="25"/>
      <c r="M8" s="25"/>
      <c r="N8" s="25"/>
      <c r="O8" s="25"/>
      <c r="P8" s="25"/>
      <c r="Q8" s="25"/>
      <c r="R8" s="25"/>
      <c r="S8" s="25"/>
    </row>
    <row r="9" spans="1:19" s="26" customFormat="1" ht="16.5" customHeight="1">
      <c r="A9" s="34" t="s">
        <v>372</v>
      </c>
      <c r="B9" s="35" t="str">
        <f>" 1. 발생 일시 :    "&amp;TEXT(_xlfn.XLOOKUP(B7,near_miss_excel_view!C:C,near_miss_excel_view!D:D,"없음",0,1),"YYYY년 MM월 DD일 hh시 mm분")&amp;" 경"</f>
        <v xml:space="preserve"> 1. 발생 일시 :    2026년 04월 13일 08시 10분 경</v>
      </c>
      <c r="C9" s="36"/>
      <c r="I9" s="33"/>
      <c r="J9" s="25"/>
      <c r="K9" s="25"/>
      <c r="L9" s="25"/>
      <c r="M9" s="25"/>
      <c r="N9" s="25"/>
      <c r="O9" s="25"/>
      <c r="P9" s="25"/>
      <c r="Q9" s="25"/>
      <c r="R9" s="25"/>
      <c r="S9" s="25"/>
    </row>
    <row r="10" spans="1:19" s="26" customFormat="1" ht="16.5" customHeight="1">
      <c r="A10" s="34" t="s">
        <v>373</v>
      </c>
      <c r="B10" s="37" t="str">
        <f>" 2. 발생 장소 :    "&amp;_xlfn.XLOOKUP(B7,near_miss_excel_view!C:C,near_miss_excel_view!E:E,"없음",0,1)</f>
        <v xml:space="preserve"> 2. 발생 장소 :    현대기전 사무실</v>
      </c>
      <c r="I10" s="33"/>
      <c r="J10" s="25"/>
      <c r="K10" s="25"/>
      <c r="L10" s="25"/>
      <c r="M10" s="25"/>
      <c r="N10" s="25"/>
      <c r="O10" s="25"/>
      <c r="P10" s="25"/>
      <c r="Q10" s="25"/>
      <c r="R10" s="25"/>
      <c r="S10" s="25"/>
    </row>
    <row r="11" spans="1:19" s="26" customFormat="1" ht="16.5" customHeight="1">
      <c r="A11" s="38" t="s">
        <v>374</v>
      </c>
      <c r="B11" s="39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판넬을 사무실 밖으로 빼기 위해 구르마로 이동 중 사무실 문 앞 턱에서 판넬이 기울어지며 넘어감 그 후 넘어가는 쪽에 있던 인원이 머리를 부딪힘.
원인: 서두르다가 이동경로의 장애물을 생각하지 못함.</v>
      </c>
      <c r="C11" s="40"/>
      <c r="D11" s="40"/>
      <c r="E11" s="40"/>
      <c r="F11" s="40"/>
      <c r="G11" s="40"/>
      <c r="H11" s="40"/>
      <c r="I11" s="41"/>
      <c r="J11" s="25"/>
      <c r="K11" s="25"/>
      <c r="L11" s="25"/>
      <c r="M11" s="25"/>
      <c r="N11" s="25"/>
      <c r="O11" s="25"/>
      <c r="P11" s="25"/>
      <c r="Q11" s="25"/>
      <c r="R11" s="25"/>
      <c r="S11" s="25"/>
    </row>
    <row r="12" spans="1:19" s="26" customFormat="1" ht="16.5" customHeight="1">
      <c r="A12" s="42" t="s">
        <v>375</v>
      </c>
      <c r="B12" s="39"/>
      <c r="C12" s="40"/>
      <c r="D12" s="40"/>
      <c r="E12" s="40"/>
      <c r="F12" s="40"/>
      <c r="G12" s="40"/>
      <c r="H12" s="40"/>
      <c r="I12" s="41"/>
      <c r="J12" s="25"/>
      <c r="K12" s="25"/>
      <c r="L12" s="25"/>
      <c r="M12" s="25"/>
      <c r="N12" s="25"/>
      <c r="O12" s="25"/>
      <c r="P12" s="25"/>
      <c r="Q12" s="25"/>
      <c r="R12" s="25"/>
      <c r="S12" s="25"/>
    </row>
    <row r="13" spans="1:19" s="26" customFormat="1" ht="16.5" customHeight="1">
      <c r="A13" s="42"/>
      <c r="B13" s="39"/>
      <c r="C13" s="40"/>
      <c r="D13" s="40"/>
      <c r="E13" s="40"/>
      <c r="F13" s="40"/>
      <c r="G13" s="40"/>
      <c r="H13" s="40"/>
      <c r="I13" s="41"/>
      <c r="J13" s="25"/>
      <c r="K13" s="25"/>
      <c r="L13" s="25"/>
      <c r="M13" s="25"/>
      <c r="N13" s="25"/>
      <c r="O13" s="25"/>
      <c r="P13" s="25"/>
      <c r="Q13" s="25"/>
      <c r="R13" s="25"/>
      <c r="S13" s="25"/>
    </row>
    <row r="14" spans="1:19" s="26" customFormat="1" ht="16.5" customHeight="1">
      <c r="A14" s="42"/>
      <c r="B14" s="39"/>
      <c r="C14" s="40"/>
      <c r="D14" s="40"/>
      <c r="E14" s="40"/>
      <c r="F14" s="40"/>
      <c r="G14" s="40"/>
      <c r="H14" s="40"/>
      <c r="I14" s="41"/>
      <c r="J14" s="25"/>
      <c r="K14" s="25"/>
      <c r="L14" s="25"/>
      <c r="M14" s="25"/>
      <c r="N14" s="25"/>
      <c r="O14" s="25"/>
      <c r="P14" s="25"/>
      <c r="Q14" s="25"/>
      <c r="R14" s="25"/>
      <c r="S14" s="25"/>
    </row>
    <row r="15" spans="1:19" s="26" customFormat="1" ht="16.5" customHeight="1">
      <c r="A15" s="34"/>
      <c r="B15" s="39"/>
      <c r="C15" s="40"/>
      <c r="D15" s="40"/>
      <c r="E15" s="40"/>
      <c r="F15" s="40"/>
      <c r="G15" s="40"/>
      <c r="H15" s="40"/>
      <c r="I15" s="41"/>
      <c r="J15" s="25"/>
      <c r="K15" s="25"/>
      <c r="L15" s="25"/>
      <c r="M15" s="25"/>
      <c r="N15" s="25"/>
      <c r="O15" s="25"/>
      <c r="P15" s="25"/>
      <c r="Q15" s="25"/>
      <c r="R15" s="25"/>
      <c r="S15" s="25"/>
    </row>
    <row r="16" spans="1:19" s="26" customFormat="1" ht="17.45" customHeight="1" thickBot="1">
      <c r="A16" s="34"/>
      <c r="B16" s="39"/>
      <c r="C16" s="40"/>
      <c r="D16" s="40"/>
      <c r="E16" s="40"/>
      <c r="F16" s="40"/>
      <c r="G16" s="40"/>
      <c r="H16" s="40"/>
      <c r="I16" s="41"/>
      <c r="J16" s="25" t="s">
        <v>376</v>
      </c>
      <c r="K16" s="25"/>
      <c r="L16" s="25" t="s">
        <v>377</v>
      </c>
      <c r="M16" s="25"/>
      <c r="N16" s="25" t="s">
        <v>378</v>
      </c>
      <c r="O16" s="25"/>
      <c r="P16" s="25" t="s">
        <v>379</v>
      </c>
      <c r="Q16" s="25"/>
      <c r="R16" s="25" t="s">
        <v>380</v>
      </c>
      <c r="S16" s="25"/>
    </row>
    <row r="17" spans="1:19" s="26" customFormat="1" ht="16.149999999999999" customHeight="1">
      <c r="A17" s="43" t="s">
        <v>381</v>
      </c>
      <c r="B17" s="44"/>
      <c r="C17" s="44"/>
      <c r="D17" s="44"/>
      <c r="E17" s="44"/>
      <c r="F17" s="44"/>
      <c r="G17" s="44"/>
      <c r="H17" s="44"/>
      <c r="I17" s="45"/>
      <c r="J17" s="25" t="str">
        <f>_xlfn.XLOOKUP(B7,near_miss_excel_view!$C:$C,near_miss_excel_view!H:H,"없음",0,1)</f>
        <v>전도</v>
      </c>
      <c r="K17" s="25"/>
      <c r="L17" s="25" t="str">
        <f>_xlfn.XLOOKUP(B7,near_miss_excel_view!$C:$C,near_miss_excel_view!I:I,"없음",0,1)</f>
        <v>통로</v>
      </c>
      <c r="M17" s="25"/>
      <c r="N17" s="25" t="str">
        <f>_xlfn.XLOOKUP(B7,near_miss_excel_view!$C:$C,near_miss_excel_view!J:J,"없음",0,1)</f>
        <v>불안전한 자세</v>
      </c>
      <c r="O17" s="25"/>
      <c r="P17" s="25" t="str">
        <f>_xlfn.XLOOKUP(B7,near_miss_excel_view!$C:$C,near_miss_excel_view!K:K,"없음",0,1)</f>
        <v>위험경로에 위치함</v>
      </c>
      <c r="Q17" s="25"/>
      <c r="R17" s="25" t="str">
        <f>_xlfn.XLOOKUP(B7,near_miss_excel_view!$C:$C,near_miss_excel_view!L:L,"없음",0,1)</f>
        <v>자만심</v>
      </c>
      <c r="S17" s="25"/>
    </row>
    <row r="18" spans="1:19" s="26" customFormat="1" ht="15.75" customHeight="1">
      <c r="A18" s="46" t="s">
        <v>382</v>
      </c>
      <c r="B18" s="47"/>
      <c r="C18" s="48"/>
      <c r="D18" s="49" t="s">
        <v>383</v>
      </c>
      <c r="E18" s="50"/>
      <c r="F18" s="50"/>
      <c r="G18" s="51"/>
      <c r="H18" s="52"/>
      <c r="I18" s="53"/>
      <c r="J18" s="25"/>
      <c r="K18" s="25"/>
      <c r="L18" s="25"/>
      <c r="M18" s="25"/>
      <c r="N18" s="25"/>
      <c r="O18" s="25"/>
      <c r="P18" s="25"/>
      <c r="Q18" s="25"/>
      <c r="R18" s="25"/>
      <c r="S18" s="25"/>
    </row>
    <row r="19" spans="1:19" s="26" customFormat="1" ht="16.149999999999999" customHeight="1">
      <c r="A19" s="54"/>
      <c r="B19" s="55"/>
      <c r="C19" s="56"/>
      <c r="D19" s="57"/>
      <c r="E19" s="58"/>
      <c r="F19" s="58"/>
      <c r="G19" s="58"/>
      <c r="H19" s="58"/>
      <c r="I19" s="59"/>
      <c r="J19" s="25" t="s">
        <v>384</v>
      </c>
      <c r="K19" s="25" t="b">
        <f t="shared" ref="K19:K36" si="0">IF(J19=$J$17,TRUE,FALSE)</f>
        <v>0</v>
      </c>
      <c r="L19" s="25" t="s">
        <v>168</v>
      </c>
      <c r="M19" s="25" t="b">
        <f>IF($L$17=L19,TRUE,FALSE)</f>
        <v>1</v>
      </c>
      <c r="N19" s="25" t="s">
        <v>385</v>
      </c>
      <c r="O19" s="25" t="b">
        <f t="shared" ref="O19:O25" si="1">IF($N$17=N19,TRUE,FALSE)</f>
        <v>0</v>
      </c>
      <c r="P19" s="25" t="s">
        <v>35</v>
      </c>
      <c r="Q19" s="25" t="b">
        <f>IF($P$17=P19,TRUE,FALSE)</f>
        <v>1</v>
      </c>
      <c r="R19" s="25" t="s">
        <v>36</v>
      </c>
      <c r="S19" s="25" t="b">
        <f>IF($R$17=R19,TRUE,FALSE)</f>
        <v>0</v>
      </c>
    </row>
    <row r="20" spans="1:19" s="26" customFormat="1" ht="16.149999999999999" customHeight="1">
      <c r="A20" s="54"/>
      <c r="B20" s="55"/>
      <c r="C20" s="56"/>
      <c r="D20" s="60"/>
      <c r="E20" s="55"/>
      <c r="F20" s="55"/>
      <c r="G20" s="55"/>
      <c r="H20" s="55"/>
      <c r="I20" s="61"/>
      <c r="J20" s="25" t="s">
        <v>32</v>
      </c>
      <c r="K20" s="25" t="b">
        <f t="shared" si="0"/>
        <v>1</v>
      </c>
      <c r="L20" s="25" t="s">
        <v>386</v>
      </c>
      <c r="M20" s="25" t="b">
        <f>IF($L$17=L20,TRUE,FALSE)</f>
        <v>0</v>
      </c>
      <c r="N20" s="25" t="s">
        <v>387</v>
      </c>
      <c r="O20" s="25" t="b">
        <f t="shared" si="1"/>
        <v>0</v>
      </c>
      <c r="P20" s="25" t="s">
        <v>158</v>
      </c>
      <c r="Q20" s="25" t="b">
        <f>IF($P$17=P20,TRUE,FALSE)</f>
        <v>0</v>
      </c>
      <c r="R20" s="25" t="s">
        <v>388</v>
      </c>
      <c r="S20" s="25" t="b">
        <f>IF($R$17=R20,TRUE,FALSE)</f>
        <v>0</v>
      </c>
    </row>
    <row r="21" spans="1:19" s="26" customFormat="1" ht="16.149999999999999" customHeight="1">
      <c r="A21" s="54"/>
      <c r="B21" s="55"/>
      <c r="C21" s="56"/>
      <c r="D21" s="60"/>
      <c r="E21" s="55"/>
      <c r="F21" s="55"/>
      <c r="G21" s="55"/>
      <c r="H21" s="55"/>
      <c r="I21" s="61"/>
      <c r="J21" s="25" t="s">
        <v>389</v>
      </c>
      <c r="K21" s="25" t="b">
        <f t="shared" si="0"/>
        <v>0</v>
      </c>
      <c r="L21" s="25" t="s">
        <v>390</v>
      </c>
      <c r="M21" s="25" t="b">
        <f>IF($L$17=L21,TRUE,FALSE)</f>
        <v>0</v>
      </c>
      <c r="N21" s="25" t="s">
        <v>391</v>
      </c>
      <c r="O21" s="25" t="b">
        <f t="shared" si="1"/>
        <v>0</v>
      </c>
      <c r="P21" s="25" t="s">
        <v>169</v>
      </c>
      <c r="Q21" s="25" t="b">
        <f>IF($P$17=P21,TRUE,FALSE)</f>
        <v>0</v>
      </c>
      <c r="R21" s="25" t="s">
        <v>392</v>
      </c>
      <c r="S21" s="25" t="b">
        <f>IF($R$17=R21,TRUE,FALSE)</f>
        <v>0</v>
      </c>
    </row>
    <row r="22" spans="1:19" s="26" customFormat="1" ht="16.149999999999999" customHeight="1">
      <c r="A22" s="54"/>
      <c r="B22" s="55"/>
      <c r="C22" s="56"/>
      <c r="D22" s="60"/>
      <c r="E22" s="55"/>
      <c r="F22" s="55"/>
      <c r="G22" s="55"/>
      <c r="H22" s="55"/>
      <c r="I22" s="61"/>
      <c r="J22" s="25" t="s">
        <v>393</v>
      </c>
      <c r="K22" s="25" t="b">
        <f t="shared" si="0"/>
        <v>0</v>
      </c>
      <c r="L22" s="25" t="s">
        <v>394</v>
      </c>
      <c r="M22" s="25" t="b">
        <f t="shared" ref="M22:M36" si="2">IF($L$17=L22,TRUE,FALSE)</f>
        <v>0</v>
      </c>
      <c r="N22" s="25" t="s">
        <v>395</v>
      </c>
      <c r="O22" s="25" t="b">
        <f t="shared" si="1"/>
        <v>0</v>
      </c>
      <c r="P22" s="25" t="s">
        <v>234</v>
      </c>
      <c r="Q22" s="25" t="b">
        <f>IF($P$17=P22,TRUE,FALSE)</f>
        <v>0</v>
      </c>
      <c r="R22" s="25" t="s">
        <v>396</v>
      </c>
      <c r="S22" s="25" t="b">
        <f>IF($R$17=R22,TRUE,FALSE)</f>
        <v>1</v>
      </c>
    </row>
    <row r="23" spans="1:19" s="26" customFormat="1" ht="16.149999999999999" customHeight="1">
      <c r="A23" s="54"/>
      <c r="B23" s="55"/>
      <c r="C23" s="56"/>
      <c r="D23" s="60"/>
      <c r="E23" s="55"/>
      <c r="F23" s="55"/>
      <c r="G23" s="55"/>
      <c r="H23" s="55"/>
      <c r="I23" s="61"/>
      <c r="J23" s="25" t="s">
        <v>397</v>
      </c>
      <c r="K23" s="25" t="b">
        <f t="shared" si="0"/>
        <v>0</v>
      </c>
      <c r="L23" s="25" t="s">
        <v>398</v>
      </c>
      <c r="M23" s="25" t="b">
        <f t="shared" si="2"/>
        <v>0</v>
      </c>
      <c r="N23" s="25" t="s">
        <v>399</v>
      </c>
      <c r="O23" s="25" t="b">
        <f t="shared" si="1"/>
        <v>1</v>
      </c>
      <c r="P23" s="25"/>
      <c r="Q23" s="25"/>
      <c r="R23" s="25"/>
      <c r="S23" s="25"/>
    </row>
    <row r="24" spans="1:19" s="26" customFormat="1" ht="16.149999999999999" customHeight="1">
      <c r="A24" s="54"/>
      <c r="B24" s="55"/>
      <c r="C24" s="56"/>
      <c r="D24" s="60"/>
      <c r="E24" s="55"/>
      <c r="F24" s="55"/>
      <c r="G24" s="55"/>
      <c r="H24" s="55"/>
      <c r="I24" s="61"/>
      <c r="J24" s="25" t="s">
        <v>400</v>
      </c>
      <c r="K24" s="25" t="b">
        <f t="shared" si="0"/>
        <v>0</v>
      </c>
      <c r="L24" s="25" t="s">
        <v>401</v>
      </c>
      <c r="M24" s="25" t="b">
        <f t="shared" si="2"/>
        <v>0</v>
      </c>
      <c r="N24" s="25" t="s">
        <v>233</v>
      </c>
      <c r="O24" s="25" t="b">
        <f t="shared" si="1"/>
        <v>0</v>
      </c>
      <c r="P24" s="25"/>
      <c r="Q24" s="25"/>
      <c r="R24" s="25"/>
      <c r="S24" s="25"/>
    </row>
    <row r="25" spans="1:19" s="26" customFormat="1" ht="16.149999999999999" customHeight="1">
      <c r="A25" s="54"/>
      <c r="B25" s="55"/>
      <c r="C25" s="56"/>
      <c r="D25" s="60"/>
      <c r="E25" s="55"/>
      <c r="F25" s="55"/>
      <c r="G25" s="55"/>
      <c r="H25" s="55"/>
      <c r="I25" s="61"/>
      <c r="J25" s="25" t="s">
        <v>402</v>
      </c>
      <c r="K25" s="25" t="b">
        <f t="shared" si="0"/>
        <v>0</v>
      </c>
      <c r="L25" s="25" t="s">
        <v>403</v>
      </c>
      <c r="M25" s="25" t="b">
        <f t="shared" si="2"/>
        <v>0</v>
      </c>
      <c r="N25" s="25" t="s">
        <v>239</v>
      </c>
      <c r="O25" s="25" t="b">
        <f t="shared" si="1"/>
        <v>0</v>
      </c>
      <c r="P25" s="25"/>
      <c r="Q25" s="25"/>
      <c r="R25" s="25"/>
      <c r="S25" s="25"/>
    </row>
    <row r="26" spans="1:19" s="26" customFormat="1" ht="16.149999999999999" customHeight="1">
      <c r="A26" s="54"/>
      <c r="B26" s="55"/>
      <c r="C26" s="56"/>
      <c r="D26" s="62"/>
      <c r="E26" s="63"/>
      <c r="F26" s="63"/>
      <c r="G26" s="63"/>
      <c r="H26" s="63"/>
      <c r="I26" s="64"/>
      <c r="J26" s="25" t="s">
        <v>232</v>
      </c>
      <c r="K26" s="25" t="b">
        <f t="shared" si="0"/>
        <v>0</v>
      </c>
      <c r="L26" s="25" t="s">
        <v>33</v>
      </c>
      <c r="M26" s="25" t="b">
        <f t="shared" si="2"/>
        <v>0</v>
      </c>
      <c r="N26" s="25" t="s">
        <v>34</v>
      </c>
      <c r="O26" s="25" t="b">
        <f>IF(COUNTIF(N17,"*기타*"),TRUE,FALSE)</f>
        <v>0</v>
      </c>
      <c r="P26" s="25"/>
      <c r="Q26" s="25"/>
      <c r="R26" s="25"/>
      <c r="S26" s="25"/>
    </row>
    <row r="27" spans="1:19" s="26" customFormat="1" ht="15.75" customHeight="1">
      <c r="A27" s="54"/>
      <c r="B27" s="55"/>
      <c r="C27" s="56"/>
      <c r="D27" s="65" t="s">
        <v>404</v>
      </c>
      <c r="E27" s="66"/>
      <c r="F27" s="66"/>
      <c r="G27" s="67"/>
      <c r="H27" s="68"/>
      <c r="I27" s="69"/>
      <c r="J27" s="25" t="s">
        <v>405</v>
      </c>
      <c r="K27" s="25" t="b">
        <f t="shared" si="0"/>
        <v>0</v>
      </c>
      <c r="L27" s="25" t="s">
        <v>406</v>
      </c>
      <c r="M27" s="25" t="b">
        <f t="shared" si="2"/>
        <v>0</v>
      </c>
      <c r="N27" s="25"/>
      <c r="O27" s="25"/>
      <c r="P27" s="25"/>
      <c r="Q27" s="25"/>
      <c r="R27" s="25"/>
      <c r="S27" s="25"/>
    </row>
    <row r="28" spans="1:19" s="26" customFormat="1" ht="16.5" customHeight="1">
      <c r="A28" s="54"/>
      <c r="B28" s="55"/>
      <c r="C28" s="56"/>
      <c r="D28" s="70"/>
      <c r="E28" s="71"/>
      <c r="F28" s="71"/>
      <c r="G28" s="71"/>
      <c r="H28" s="71"/>
      <c r="I28" s="72"/>
      <c r="J28" s="25" t="s">
        <v>407</v>
      </c>
      <c r="K28" s="25" t="b">
        <f t="shared" si="0"/>
        <v>0</v>
      </c>
      <c r="L28" s="25" t="s">
        <v>408</v>
      </c>
      <c r="M28" s="25" t="b">
        <f t="shared" si="2"/>
        <v>0</v>
      </c>
      <c r="N28" s="25"/>
      <c r="O28" s="25"/>
      <c r="P28" s="25"/>
      <c r="Q28" s="25"/>
      <c r="R28" s="25"/>
      <c r="S28" s="25"/>
    </row>
    <row r="29" spans="1:19" s="26" customFormat="1" ht="16.5" customHeight="1">
      <c r="A29" s="54"/>
      <c r="B29" s="55"/>
      <c r="C29" s="56"/>
      <c r="D29" s="73"/>
      <c r="E29" s="74"/>
      <c r="F29" s="74"/>
      <c r="G29" s="74"/>
      <c r="H29" s="74"/>
      <c r="I29" s="75"/>
      <c r="J29" s="25" t="s">
        <v>34</v>
      </c>
      <c r="K29" s="25" t="b">
        <f t="shared" si="0"/>
        <v>0</v>
      </c>
      <c r="L29" s="25" t="s">
        <v>34</v>
      </c>
      <c r="M29" s="25" t="b">
        <f t="shared" si="2"/>
        <v>0</v>
      </c>
      <c r="N29" s="25"/>
      <c r="O29" s="25"/>
      <c r="P29" s="25"/>
      <c r="Q29" s="25"/>
      <c r="R29" s="25"/>
      <c r="S29" s="25"/>
    </row>
    <row r="30" spans="1:19" s="26" customFormat="1" ht="16.5" customHeight="1">
      <c r="A30" s="54"/>
      <c r="B30" s="55"/>
      <c r="C30" s="56"/>
      <c r="D30" s="73"/>
      <c r="E30" s="74"/>
      <c r="F30" s="74"/>
      <c r="G30" s="74"/>
      <c r="H30" s="74"/>
      <c r="I30" s="75"/>
      <c r="J30" s="25" t="s">
        <v>409</v>
      </c>
      <c r="K30" s="25" t="b">
        <f t="shared" si="0"/>
        <v>0</v>
      </c>
      <c r="L30" s="25" t="s">
        <v>410</v>
      </c>
      <c r="M30" s="25" t="b">
        <f t="shared" si="2"/>
        <v>0</v>
      </c>
      <c r="N30" s="25"/>
      <c r="O30" s="25"/>
      <c r="P30" s="25"/>
      <c r="Q30" s="25"/>
      <c r="R30" s="25"/>
      <c r="S30" s="25"/>
    </row>
    <row r="31" spans="1:19" s="26" customFormat="1" ht="16.5" customHeight="1">
      <c r="A31" s="54"/>
      <c r="B31" s="55"/>
      <c r="C31" s="56"/>
      <c r="D31" s="73"/>
      <c r="E31" s="74"/>
      <c r="F31" s="74"/>
      <c r="G31" s="74"/>
      <c r="H31" s="74"/>
      <c r="I31" s="75"/>
      <c r="J31" s="25" t="s">
        <v>411</v>
      </c>
      <c r="K31" s="25" t="b">
        <f t="shared" si="0"/>
        <v>0</v>
      </c>
      <c r="L31" s="25" t="s">
        <v>412</v>
      </c>
      <c r="M31" s="25" t="b">
        <f t="shared" si="2"/>
        <v>0</v>
      </c>
      <c r="N31" s="25"/>
      <c r="O31" s="25"/>
      <c r="P31" s="25"/>
      <c r="Q31" s="25"/>
      <c r="R31" s="25"/>
      <c r="S31" s="25"/>
    </row>
    <row r="32" spans="1:19" s="26" customFormat="1" ht="16.5" customHeight="1">
      <c r="A32" s="54"/>
      <c r="B32" s="55"/>
      <c r="C32" s="56"/>
      <c r="D32" s="73"/>
      <c r="E32" s="74"/>
      <c r="F32" s="74"/>
      <c r="G32" s="74"/>
      <c r="H32" s="74"/>
      <c r="I32" s="75"/>
      <c r="J32" s="25" t="s">
        <v>413</v>
      </c>
      <c r="K32" s="25" t="b">
        <f t="shared" si="0"/>
        <v>0</v>
      </c>
      <c r="L32" s="25" t="s">
        <v>414</v>
      </c>
      <c r="M32" s="25" t="b">
        <f t="shared" si="2"/>
        <v>0</v>
      </c>
      <c r="N32" s="25"/>
      <c r="O32" s="25"/>
      <c r="P32" s="25"/>
      <c r="Q32" s="25"/>
      <c r="R32" s="25"/>
      <c r="S32" s="25"/>
    </row>
    <row r="33" spans="1:19" s="26" customFormat="1" ht="16.5" customHeight="1">
      <c r="A33" s="54"/>
      <c r="B33" s="55"/>
      <c r="C33" s="56"/>
      <c r="D33" s="73"/>
      <c r="E33" s="74"/>
      <c r="F33" s="74"/>
      <c r="G33" s="74"/>
      <c r="H33" s="74"/>
      <c r="I33" s="75"/>
      <c r="J33" s="25" t="s">
        <v>415</v>
      </c>
      <c r="K33" s="25" t="b">
        <f t="shared" si="0"/>
        <v>0</v>
      </c>
      <c r="L33" s="25" t="s">
        <v>240</v>
      </c>
      <c r="M33" s="25" t="b">
        <f t="shared" si="2"/>
        <v>0</v>
      </c>
      <c r="N33" s="25"/>
      <c r="O33" s="25"/>
      <c r="P33" s="25"/>
      <c r="Q33" s="25"/>
      <c r="R33" s="25"/>
      <c r="S33" s="25"/>
    </row>
    <row r="34" spans="1:19" s="26" customFormat="1" ht="16.5" customHeight="1" thickBot="1">
      <c r="A34" s="76"/>
      <c r="B34" s="77"/>
      <c r="C34" s="78"/>
      <c r="D34" s="79"/>
      <c r="E34" s="80"/>
      <c r="F34" s="80"/>
      <c r="G34" s="80"/>
      <c r="H34" s="80"/>
      <c r="I34" s="81"/>
      <c r="J34" s="25" t="s">
        <v>416</v>
      </c>
      <c r="K34" s="25" t="b">
        <f t="shared" si="0"/>
        <v>0</v>
      </c>
      <c r="L34" s="25" t="s">
        <v>417</v>
      </c>
      <c r="M34" s="25" t="b">
        <f t="shared" si="2"/>
        <v>0</v>
      </c>
      <c r="N34" s="25"/>
      <c r="O34" s="25"/>
      <c r="P34" s="25"/>
      <c r="Q34" s="25"/>
      <c r="R34" s="25"/>
      <c r="S34" s="25"/>
    </row>
    <row r="35" spans="1:19" s="26" customFormat="1" ht="16.5" customHeight="1">
      <c r="A35" s="82" t="s">
        <v>418</v>
      </c>
      <c r="B35" s="83" t="s">
        <v>419</v>
      </c>
      <c r="C35" s="84"/>
      <c r="D35" s="84"/>
      <c r="E35" s="84"/>
      <c r="F35" s="84"/>
      <c r="G35" s="84"/>
      <c r="H35" s="85"/>
      <c r="I35" s="33"/>
      <c r="J35" s="25" t="s">
        <v>420</v>
      </c>
      <c r="K35" s="25" t="b">
        <f t="shared" si="0"/>
        <v>0</v>
      </c>
      <c r="L35" s="25" t="s">
        <v>421</v>
      </c>
      <c r="M35" s="25" t="b">
        <f t="shared" si="2"/>
        <v>0</v>
      </c>
      <c r="N35" s="25"/>
      <c r="O35" s="25"/>
      <c r="P35" s="25"/>
      <c r="Q35" s="25"/>
      <c r="R35" s="25"/>
      <c r="S35" s="25"/>
    </row>
    <row r="36" spans="1:19" s="26" customFormat="1" ht="16.5" customHeight="1">
      <c r="A36" s="82" t="s">
        <v>422</v>
      </c>
      <c r="B36" s="86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사용했던 구르마보다 큰 규격의 구르마를 사용하고 판넬을 세워서 이동하지 않고 눕혀서 2명 이상의 인원이 함께 작업을 하였습니다.</v>
      </c>
      <c r="C36" s="87"/>
      <c r="D36" s="87"/>
      <c r="E36" s="87"/>
      <c r="F36" s="87"/>
      <c r="G36" s="87"/>
      <c r="H36" s="87"/>
      <c r="I36" s="88"/>
      <c r="J36" s="25" t="s">
        <v>423</v>
      </c>
      <c r="K36" s="25" t="b">
        <f t="shared" si="0"/>
        <v>0</v>
      </c>
      <c r="L36" s="25" t="s">
        <v>424</v>
      </c>
      <c r="M36" s="25" t="b">
        <f t="shared" si="2"/>
        <v>0</v>
      </c>
      <c r="N36" s="25"/>
      <c r="O36" s="25"/>
      <c r="P36" s="25"/>
      <c r="Q36" s="25"/>
      <c r="R36" s="25"/>
      <c r="S36" s="25"/>
    </row>
    <row r="37" spans="1:19" s="26" customFormat="1" ht="27.75" customHeight="1">
      <c r="A37" s="82" t="s">
        <v>425</v>
      </c>
      <c r="B37" s="86"/>
      <c r="C37" s="87"/>
      <c r="D37" s="87"/>
      <c r="E37" s="87"/>
      <c r="F37" s="87"/>
      <c r="G37" s="87"/>
      <c r="H37" s="87"/>
      <c r="I37" s="88"/>
      <c r="J37" s="25"/>
      <c r="K37" s="25"/>
      <c r="L37" s="25"/>
      <c r="M37" s="25"/>
      <c r="N37" s="25"/>
      <c r="O37" s="25"/>
      <c r="P37" s="25"/>
      <c r="Q37" s="25"/>
      <c r="R37" s="25"/>
      <c r="S37" s="25"/>
    </row>
    <row r="38" spans="1:19" s="26" customFormat="1" ht="16.5" customHeight="1" thickBot="1">
      <c r="A38" s="89"/>
      <c r="B38" s="90"/>
      <c r="C38" s="91"/>
      <c r="D38" s="91"/>
      <c r="E38" s="91"/>
      <c r="F38" s="91"/>
      <c r="G38" s="91"/>
      <c r="H38" s="91"/>
      <c r="I38" s="92"/>
      <c r="J38" s="25"/>
      <c r="K38" s="25"/>
      <c r="L38" s="25"/>
      <c r="M38" s="25"/>
      <c r="N38" s="25"/>
      <c r="O38" s="25"/>
      <c r="P38" s="25"/>
      <c r="Q38" s="25"/>
      <c r="R38" s="25"/>
      <c r="S38" s="25"/>
    </row>
    <row r="39" spans="1:19" s="26" customFormat="1" ht="18.75" customHeight="1" thickBot="1">
      <c r="A39" s="93" t="s">
        <v>426</v>
      </c>
      <c r="B39" s="94"/>
      <c r="C39" s="94"/>
      <c r="D39" s="94"/>
      <c r="E39" s="94"/>
      <c r="F39" s="94"/>
      <c r="G39" s="94"/>
      <c r="H39" s="94"/>
      <c r="I39" s="95"/>
      <c r="J39" s="25"/>
      <c r="K39" s="25"/>
      <c r="L39" s="25"/>
      <c r="M39" s="25"/>
      <c r="N39" s="25"/>
      <c r="O39" s="25"/>
      <c r="P39" s="25"/>
      <c r="Q39" s="25"/>
      <c r="R39" s="25"/>
      <c r="S39" s="25"/>
    </row>
    <row r="40" spans="1:19" s="26" customFormat="1" ht="18" thickTop="1">
      <c r="A40" s="82" t="s">
        <v>427</v>
      </c>
      <c r="B40" s="83" t="s">
        <v>428</v>
      </c>
      <c r="C40" s="84"/>
      <c r="D40" s="84"/>
      <c r="E40" s="84"/>
      <c r="F40" s="84"/>
      <c r="G40" s="84"/>
      <c r="H40" s="85"/>
      <c r="I40" s="33"/>
      <c r="J40" s="25"/>
      <c r="K40" s="25"/>
      <c r="L40" s="25"/>
      <c r="M40" s="25"/>
      <c r="N40" s="25"/>
      <c r="O40" s="25"/>
      <c r="P40" s="25"/>
      <c r="Q40" s="25"/>
      <c r="R40" s="25"/>
      <c r="S40" s="25"/>
    </row>
    <row r="41" spans="1:19" s="26" customFormat="1">
      <c r="A41" s="96" t="s">
        <v>429</v>
      </c>
      <c r="B41" s="97"/>
      <c r="C41" s="98"/>
      <c r="D41" s="98"/>
      <c r="E41" s="98"/>
      <c r="F41" s="98"/>
      <c r="G41" s="98"/>
      <c r="H41" s="98"/>
      <c r="I41" s="99"/>
      <c r="J41" s="25"/>
      <c r="K41" s="25"/>
      <c r="L41" s="25"/>
      <c r="M41" s="25"/>
      <c r="N41" s="25"/>
      <c r="O41" s="25"/>
      <c r="P41" s="25"/>
      <c r="Q41" s="25"/>
      <c r="R41" s="25"/>
      <c r="S41" s="25"/>
    </row>
    <row r="42" spans="1:19" s="26" customFormat="1" ht="27.75" customHeight="1">
      <c r="A42" s="96" t="s">
        <v>430</v>
      </c>
      <c r="B42" s="97"/>
      <c r="C42" s="98"/>
      <c r="D42" s="98"/>
      <c r="E42" s="98"/>
      <c r="F42" s="98"/>
      <c r="G42" s="98"/>
      <c r="H42" s="98"/>
      <c r="I42" s="99"/>
      <c r="J42" s="25"/>
      <c r="K42" s="25"/>
      <c r="L42" s="25"/>
      <c r="M42" s="25"/>
      <c r="N42" s="25"/>
      <c r="O42" s="25"/>
      <c r="P42" s="25"/>
      <c r="Q42" s="25"/>
      <c r="R42" s="25"/>
      <c r="S42" s="25"/>
    </row>
    <row r="43" spans="1:19" s="26" customFormat="1" ht="18" thickBot="1">
      <c r="A43" s="100"/>
      <c r="B43" s="101"/>
      <c r="C43" s="102"/>
      <c r="D43" s="102"/>
      <c r="E43" s="102"/>
      <c r="F43" s="102"/>
      <c r="G43" s="102"/>
      <c r="H43" s="102"/>
      <c r="I43" s="103"/>
      <c r="J43" s="25"/>
      <c r="K43" s="25"/>
      <c r="L43" s="25"/>
      <c r="M43" s="25"/>
      <c r="N43" s="25"/>
      <c r="O43" s="25"/>
      <c r="P43" s="25"/>
      <c r="Q43" s="25"/>
      <c r="R43" s="25"/>
      <c r="S43" s="25"/>
    </row>
    <row r="44" spans="1:19" s="26" customFormat="1" ht="17.25" customHeight="1" thickBot="1">
      <c r="A44" s="104" t="s">
        <v>431</v>
      </c>
      <c r="B44" s="105" t="s">
        <v>432</v>
      </c>
      <c r="C44" s="106" t="s">
        <v>433</v>
      </c>
      <c r="D44" s="107"/>
      <c r="E44" s="108"/>
      <c r="F44" s="109" t="s">
        <v>434</v>
      </c>
      <c r="G44" s="110"/>
      <c r="H44" s="110"/>
      <c r="I44" s="111"/>
      <c r="J44" s="25"/>
      <c r="K44" s="25"/>
      <c r="L44" s="25"/>
      <c r="M44" s="25"/>
      <c r="N44" s="25"/>
      <c r="O44" s="25"/>
      <c r="P44" s="25"/>
      <c r="Q44" s="25"/>
      <c r="R44" s="25"/>
      <c r="S44" s="25"/>
    </row>
    <row r="45" spans="1:19" s="26" customFormat="1" ht="18.75" customHeight="1" thickBot="1">
      <c r="A45" s="93" t="s">
        <v>435</v>
      </c>
      <c r="B45" s="94"/>
      <c r="C45" s="94"/>
      <c r="D45" s="94"/>
      <c r="E45" s="94"/>
      <c r="F45" s="94"/>
      <c r="G45" s="94"/>
      <c r="H45" s="94"/>
      <c r="I45" s="95"/>
      <c r="J45" s="25"/>
      <c r="K45" s="25"/>
      <c r="L45" s="25"/>
      <c r="M45" s="25"/>
      <c r="N45" s="25"/>
      <c r="O45" s="25"/>
      <c r="P45" s="25"/>
      <c r="Q45" s="25"/>
      <c r="R45" s="25"/>
      <c r="S45" s="25"/>
    </row>
    <row r="46" spans="1:19" s="26" customFormat="1" ht="17.25" customHeight="1" thickTop="1" thickBot="1">
      <c r="A46" s="112" t="s">
        <v>436</v>
      </c>
      <c r="B46" s="113" t="s">
        <v>437</v>
      </c>
      <c r="C46" s="114" t="s">
        <v>433</v>
      </c>
      <c r="D46" s="115"/>
      <c r="E46" s="116"/>
      <c r="F46" s="117"/>
      <c r="G46" s="118"/>
      <c r="H46" s="118"/>
      <c r="I46" s="119"/>
      <c r="J46" s="25"/>
      <c r="K46" s="25"/>
      <c r="L46" s="25"/>
      <c r="M46" s="25"/>
      <c r="N46" s="25"/>
      <c r="O46" s="25"/>
      <c r="P46" s="25"/>
      <c r="Q46" s="25"/>
      <c r="R46" s="25"/>
      <c r="S46" s="25"/>
    </row>
    <row r="47" spans="1:19" s="26" customFormat="1" ht="18.75" thickTop="1" thickBot="1">
      <c r="A47" s="120" t="s">
        <v>438</v>
      </c>
      <c r="B47" s="121"/>
      <c r="C47" s="121"/>
      <c r="D47" s="121"/>
      <c r="E47" s="121"/>
      <c r="F47" s="121"/>
      <c r="G47" s="121"/>
      <c r="H47" s="121"/>
      <c r="I47" s="122"/>
      <c r="J47" s="25"/>
      <c r="K47" s="25"/>
      <c r="L47" s="25"/>
      <c r="M47" s="25"/>
      <c r="N47" s="25"/>
      <c r="O47" s="25"/>
      <c r="P47" s="25"/>
      <c r="Q47" s="25"/>
      <c r="R47" s="25"/>
      <c r="S47" s="25"/>
    </row>
    <row r="48" spans="1:19">
      <c r="A48" s="123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1:H2"/>
    <mergeCell ref="H5:I5"/>
    <mergeCell ref="B6:C6"/>
    <mergeCell ref="E6:F6"/>
    <mergeCell ref="H6:I6"/>
    <mergeCell ref="B7:I7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4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1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3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114300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4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5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38100</xdr:rowOff>
                  </from>
                  <to>
                    <xdr:col>4</xdr:col>
                    <xdr:colOff>400050</xdr:colOff>
                    <xdr:row>32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6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7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180975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8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190500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9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0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1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2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38100</xdr:rowOff>
                  </from>
                  <to>
                    <xdr:col>9</xdr:col>
                    <xdr:colOff>28575</xdr:colOff>
                    <xdr:row>30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3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4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5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6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7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18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8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9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0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1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2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3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4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5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6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7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8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9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0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1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2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514350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3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4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209550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5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171450</xdr:rowOff>
                  </from>
                  <to>
                    <xdr:col>1</xdr:col>
                    <xdr:colOff>695325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6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7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8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9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0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1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133350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2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142875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3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590550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4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171450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5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6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7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8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9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0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133350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1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142875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2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285AFF-C3A5-4AB3-BFF8-439EEEBCE8D8}">
          <x14:formula1>
            <xm:f>near_miss_excel_view!$C:$C</xm:f>
          </x14:formula1>
          <xm:sqref>B7:I7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19D7-4C8D-4D18-8B56-B130ED44DF14}">
  <sheetPr>
    <tabColor rgb="FFFFFF00"/>
    <pageSetUpPr fitToPage="1"/>
  </sheetPr>
  <dimension ref="A1:S48"/>
  <sheetViews>
    <sheetView showGridLines="0" tabSelected="1" view="pageBreakPreview" topLeftCell="A16" zoomScale="115" zoomScaleNormal="100" zoomScaleSheetLayoutView="115" workbookViewId="0">
      <selection activeCell="O23" sqref="O23"/>
    </sheetView>
  </sheetViews>
  <sheetFormatPr defaultColWidth="9" defaultRowHeight="17.25"/>
  <cols>
    <col min="1" max="1" width="21.375" style="9" customWidth="1"/>
    <col min="2" max="2" width="11.125" style="9" customWidth="1"/>
    <col min="3" max="3" width="8.625" style="9" customWidth="1"/>
    <col min="4" max="4" width="9" style="9"/>
    <col min="5" max="6" width="8" style="9" customWidth="1"/>
    <col min="7" max="7" width="8.875" style="9" bestFit="1" customWidth="1"/>
    <col min="8" max="8" width="11.25" style="9" customWidth="1"/>
    <col min="9" max="9" width="10.75" style="9" customWidth="1"/>
    <col min="10" max="10" width="10.625" style="10" customWidth="1"/>
    <col min="11" max="11" width="5.25" style="10" customWidth="1"/>
    <col min="12" max="12" width="10.625" style="10" customWidth="1"/>
    <col min="13" max="13" width="5.25" style="10" customWidth="1"/>
    <col min="14" max="14" width="10.625" style="10" customWidth="1"/>
    <col min="15" max="15" width="5.25" style="10" customWidth="1"/>
    <col min="16" max="16" width="15.375" style="10" customWidth="1"/>
    <col min="17" max="17" width="5.25" style="10" customWidth="1"/>
    <col min="18" max="18" width="9" style="10"/>
    <col min="19" max="19" width="5.75" style="10" customWidth="1"/>
    <col min="20" max="256" width="9" style="9"/>
    <col min="257" max="257" width="21.375" style="9" customWidth="1"/>
    <col min="258" max="258" width="11.125" style="9" customWidth="1"/>
    <col min="259" max="259" width="10.75" style="9" customWidth="1"/>
    <col min="260" max="260" width="9" style="9"/>
    <col min="261" max="262" width="8" style="9" customWidth="1"/>
    <col min="263" max="263" width="8.875" style="9" bestFit="1" customWidth="1"/>
    <col min="264" max="265" width="11.25" style="9" customWidth="1"/>
    <col min="266" max="512" width="9" style="9"/>
    <col min="513" max="513" width="21.375" style="9" customWidth="1"/>
    <col min="514" max="514" width="11.125" style="9" customWidth="1"/>
    <col min="515" max="515" width="10.75" style="9" customWidth="1"/>
    <col min="516" max="516" width="9" style="9"/>
    <col min="517" max="518" width="8" style="9" customWidth="1"/>
    <col min="519" max="519" width="8.875" style="9" bestFit="1" customWidth="1"/>
    <col min="520" max="521" width="11.25" style="9" customWidth="1"/>
    <col min="522" max="768" width="9" style="9"/>
    <col min="769" max="769" width="21.375" style="9" customWidth="1"/>
    <col min="770" max="770" width="11.125" style="9" customWidth="1"/>
    <col min="771" max="771" width="10.75" style="9" customWidth="1"/>
    <col min="772" max="772" width="9" style="9"/>
    <col min="773" max="774" width="8" style="9" customWidth="1"/>
    <col min="775" max="775" width="8.875" style="9" bestFit="1" customWidth="1"/>
    <col min="776" max="777" width="11.25" style="9" customWidth="1"/>
    <col min="778" max="1024" width="9" style="9"/>
    <col min="1025" max="1025" width="21.375" style="9" customWidth="1"/>
    <col min="1026" max="1026" width="11.125" style="9" customWidth="1"/>
    <col min="1027" max="1027" width="10.75" style="9" customWidth="1"/>
    <col min="1028" max="1028" width="9" style="9"/>
    <col min="1029" max="1030" width="8" style="9" customWidth="1"/>
    <col min="1031" max="1031" width="8.875" style="9" bestFit="1" customWidth="1"/>
    <col min="1032" max="1033" width="11.25" style="9" customWidth="1"/>
    <col min="1034" max="1280" width="9" style="9"/>
    <col min="1281" max="1281" width="21.375" style="9" customWidth="1"/>
    <col min="1282" max="1282" width="11.125" style="9" customWidth="1"/>
    <col min="1283" max="1283" width="10.75" style="9" customWidth="1"/>
    <col min="1284" max="1284" width="9" style="9"/>
    <col min="1285" max="1286" width="8" style="9" customWidth="1"/>
    <col min="1287" max="1287" width="8.875" style="9" bestFit="1" customWidth="1"/>
    <col min="1288" max="1289" width="11.25" style="9" customWidth="1"/>
    <col min="1290" max="1536" width="9" style="9"/>
    <col min="1537" max="1537" width="21.375" style="9" customWidth="1"/>
    <col min="1538" max="1538" width="11.125" style="9" customWidth="1"/>
    <col min="1539" max="1539" width="10.75" style="9" customWidth="1"/>
    <col min="1540" max="1540" width="9" style="9"/>
    <col min="1541" max="1542" width="8" style="9" customWidth="1"/>
    <col min="1543" max="1543" width="8.875" style="9" bestFit="1" customWidth="1"/>
    <col min="1544" max="1545" width="11.25" style="9" customWidth="1"/>
    <col min="1546" max="1792" width="9" style="9"/>
    <col min="1793" max="1793" width="21.375" style="9" customWidth="1"/>
    <col min="1794" max="1794" width="11.125" style="9" customWidth="1"/>
    <col min="1795" max="1795" width="10.75" style="9" customWidth="1"/>
    <col min="1796" max="1796" width="9" style="9"/>
    <col min="1797" max="1798" width="8" style="9" customWidth="1"/>
    <col min="1799" max="1799" width="8.875" style="9" bestFit="1" customWidth="1"/>
    <col min="1800" max="1801" width="11.25" style="9" customWidth="1"/>
    <col min="1802" max="2048" width="9" style="9"/>
    <col min="2049" max="2049" width="21.375" style="9" customWidth="1"/>
    <col min="2050" max="2050" width="11.125" style="9" customWidth="1"/>
    <col min="2051" max="2051" width="10.75" style="9" customWidth="1"/>
    <col min="2052" max="2052" width="9" style="9"/>
    <col min="2053" max="2054" width="8" style="9" customWidth="1"/>
    <col min="2055" max="2055" width="8.875" style="9" bestFit="1" customWidth="1"/>
    <col min="2056" max="2057" width="11.25" style="9" customWidth="1"/>
    <col min="2058" max="2304" width="9" style="9"/>
    <col min="2305" max="2305" width="21.375" style="9" customWidth="1"/>
    <col min="2306" max="2306" width="11.125" style="9" customWidth="1"/>
    <col min="2307" max="2307" width="10.75" style="9" customWidth="1"/>
    <col min="2308" max="2308" width="9" style="9"/>
    <col min="2309" max="2310" width="8" style="9" customWidth="1"/>
    <col min="2311" max="2311" width="8.875" style="9" bestFit="1" customWidth="1"/>
    <col min="2312" max="2313" width="11.25" style="9" customWidth="1"/>
    <col min="2314" max="2560" width="9" style="9"/>
    <col min="2561" max="2561" width="21.375" style="9" customWidth="1"/>
    <col min="2562" max="2562" width="11.125" style="9" customWidth="1"/>
    <col min="2563" max="2563" width="10.75" style="9" customWidth="1"/>
    <col min="2564" max="2564" width="9" style="9"/>
    <col min="2565" max="2566" width="8" style="9" customWidth="1"/>
    <col min="2567" max="2567" width="8.875" style="9" bestFit="1" customWidth="1"/>
    <col min="2568" max="2569" width="11.25" style="9" customWidth="1"/>
    <col min="2570" max="2816" width="9" style="9"/>
    <col min="2817" max="2817" width="21.375" style="9" customWidth="1"/>
    <col min="2818" max="2818" width="11.125" style="9" customWidth="1"/>
    <col min="2819" max="2819" width="10.75" style="9" customWidth="1"/>
    <col min="2820" max="2820" width="9" style="9"/>
    <col min="2821" max="2822" width="8" style="9" customWidth="1"/>
    <col min="2823" max="2823" width="8.875" style="9" bestFit="1" customWidth="1"/>
    <col min="2824" max="2825" width="11.25" style="9" customWidth="1"/>
    <col min="2826" max="3072" width="9" style="9"/>
    <col min="3073" max="3073" width="21.375" style="9" customWidth="1"/>
    <col min="3074" max="3074" width="11.125" style="9" customWidth="1"/>
    <col min="3075" max="3075" width="10.75" style="9" customWidth="1"/>
    <col min="3076" max="3076" width="9" style="9"/>
    <col min="3077" max="3078" width="8" style="9" customWidth="1"/>
    <col min="3079" max="3079" width="8.875" style="9" bestFit="1" customWidth="1"/>
    <col min="3080" max="3081" width="11.25" style="9" customWidth="1"/>
    <col min="3082" max="3328" width="9" style="9"/>
    <col min="3329" max="3329" width="21.375" style="9" customWidth="1"/>
    <col min="3330" max="3330" width="11.125" style="9" customWidth="1"/>
    <col min="3331" max="3331" width="10.75" style="9" customWidth="1"/>
    <col min="3332" max="3332" width="9" style="9"/>
    <col min="3333" max="3334" width="8" style="9" customWidth="1"/>
    <col min="3335" max="3335" width="8.875" style="9" bestFit="1" customWidth="1"/>
    <col min="3336" max="3337" width="11.25" style="9" customWidth="1"/>
    <col min="3338" max="3584" width="9" style="9"/>
    <col min="3585" max="3585" width="21.375" style="9" customWidth="1"/>
    <col min="3586" max="3586" width="11.125" style="9" customWidth="1"/>
    <col min="3587" max="3587" width="10.75" style="9" customWidth="1"/>
    <col min="3588" max="3588" width="9" style="9"/>
    <col min="3589" max="3590" width="8" style="9" customWidth="1"/>
    <col min="3591" max="3591" width="8.875" style="9" bestFit="1" customWidth="1"/>
    <col min="3592" max="3593" width="11.25" style="9" customWidth="1"/>
    <col min="3594" max="3840" width="9" style="9"/>
    <col min="3841" max="3841" width="21.375" style="9" customWidth="1"/>
    <col min="3842" max="3842" width="11.125" style="9" customWidth="1"/>
    <col min="3843" max="3843" width="10.75" style="9" customWidth="1"/>
    <col min="3844" max="3844" width="9" style="9"/>
    <col min="3845" max="3846" width="8" style="9" customWidth="1"/>
    <col min="3847" max="3847" width="8.875" style="9" bestFit="1" customWidth="1"/>
    <col min="3848" max="3849" width="11.25" style="9" customWidth="1"/>
    <col min="3850" max="4096" width="9" style="9"/>
    <col min="4097" max="4097" width="21.375" style="9" customWidth="1"/>
    <col min="4098" max="4098" width="11.125" style="9" customWidth="1"/>
    <col min="4099" max="4099" width="10.75" style="9" customWidth="1"/>
    <col min="4100" max="4100" width="9" style="9"/>
    <col min="4101" max="4102" width="8" style="9" customWidth="1"/>
    <col min="4103" max="4103" width="8.875" style="9" bestFit="1" customWidth="1"/>
    <col min="4104" max="4105" width="11.25" style="9" customWidth="1"/>
    <col min="4106" max="4352" width="9" style="9"/>
    <col min="4353" max="4353" width="21.375" style="9" customWidth="1"/>
    <col min="4354" max="4354" width="11.125" style="9" customWidth="1"/>
    <col min="4355" max="4355" width="10.75" style="9" customWidth="1"/>
    <col min="4356" max="4356" width="9" style="9"/>
    <col min="4357" max="4358" width="8" style="9" customWidth="1"/>
    <col min="4359" max="4359" width="8.875" style="9" bestFit="1" customWidth="1"/>
    <col min="4360" max="4361" width="11.25" style="9" customWidth="1"/>
    <col min="4362" max="4608" width="9" style="9"/>
    <col min="4609" max="4609" width="21.375" style="9" customWidth="1"/>
    <col min="4610" max="4610" width="11.125" style="9" customWidth="1"/>
    <col min="4611" max="4611" width="10.75" style="9" customWidth="1"/>
    <col min="4612" max="4612" width="9" style="9"/>
    <col min="4613" max="4614" width="8" style="9" customWidth="1"/>
    <col min="4615" max="4615" width="8.875" style="9" bestFit="1" customWidth="1"/>
    <col min="4616" max="4617" width="11.25" style="9" customWidth="1"/>
    <col min="4618" max="4864" width="9" style="9"/>
    <col min="4865" max="4865" width="21.375" style="9" customWidth="1"/>
    <col min="4866" max="4866" width="11.125" style="9" customWidth="1"/>
    <col min="4867" max="4867" width="10.75" style="9" customWidth="1"/>
    <col min="4868" max="4868" width="9" style="9"/>
    <col min="4869" max="4870" width="8" style="9" customWidth="1"/>
    <col min="4871" max="4871" width="8.875" style="9" bestFit="1" customWidth="1"/>
    <col min="4872" max="4873" width="11.25" style="9" customWidth="1"/>
    <col min="4874" max="5120" width="9" style="9"/>
    <col min="5121" max="5121" width="21.375" style="9" customWidth="1"/>
    <col min="5122" max="5122" width="11.125" style="9" customWidth="1"/>
    <col min="5123" max="5123" width="10.75" style="9" customWidth="1"/>
    <col min="5124" max="5124" width="9" style="9"/>
    <col min="5125" max="5126" width="8" style="9" customWidth="1"/>
    <col min="5127" max="5127" width="8.875" style="9" bestFit="1" customWidth="1"/>
    <col min="5128" max="5129" width="11.25" style="9" customWidth="1"/>
    <col min="5130" max="5376" width="9" style="9"/>
    <col min="5377" max="5377" width="21.375" style="9" customWidth="1"/>
    <col min="5378" max="5378" width="11.125" style="9" customWidth="1"/>
    <col min="5379" max="5379" width="10.75" style="9" customWidth="1"/>
    <col min="5380" max="5380" width="9" style="9"/>
    <col min="5381" max="5382" width="8" style="9" customWidth="1"/>
    <col min="5383" max="5383" width="8.875" style="9" bestFit="1" customWidth="1"/>
    <col min="5384" max="5385" width="11.25" style="9" customWidth="1"/>
    <col min="5386" max="5632" width="9" style="9"/>
    <col min="5633" max="5633" width="21.375" style="9" customWidth="1"/>
    <col min="5634" max="5634" width="11.125" style="9" customWidth="1"/>
    <col min="5635" max="5635" width="10.75" style="9" customWidth="1"/>
    <col min="5636" max="5636" width="9" style="9"/>
    <col min="5637" max="5638" width="8" style="9" customWidth="1"/>
    <col min="5639" max="5639" width="8.875" style="9" bestFit="1" customWidth="1"/>
    <col min="5640" max="5641" width="11.25" style="9" customWidth="1"/>
    <col min="5642" max="5888" width="9" style="9"/>
    <col min="5889" max="5889" width="21.375" style="9" customWidth="1"/>
    <col min="5890" max="5890" width="11.125" style="9" customWidth="1"/>
    <col min="5891" max="5891" width="10.75" style="9" customWidth="1"/>
    <col min="5892" max="5892" width="9" style="9"/>
    <col min="5893" max="5894" width="8" style="9" customWidth="1"/>
    <col min="5895" max="5895" width="8.875" style="9" bestFit="1" customWidth="1"/>
    <col min="5896" max="5897" width="11.25" style="9" customWidth="1"/>
    <col min="5898" max="6144" width="9" style="9"/>
    <col min="6145" max="6145" width="21.375" style="9" customWidth="1"/>
    <col min="6146" max="6146" width="11.125" style="9" customWidth="1"/>
    <col min="6147" max="6147" width="10.75" style="9" customWidth="1"/>
    <col min="6148" max="6148" width="9" style="9"/>
    <col min="6149" max="6150" width="8" style="9" customWidth="1"/>
    <col min="6151" max="6151" width="8.875" style="9" bestFit="1" customWidth="1"/>
    <col min="6152" max="6153" width="11.25" style="9" customWidth="1"/>
    <col min="6154" max="6400" width="9" style="9"/>
    <col min="6401" max="6401" width="21.375" style="9" customWidth="1"/>
    <col min="6402" max="6402" width="11.125" style="9" customWidth="1"/>
    <col min="6403" max="6403" width="10.75" style="9" customWidth="1"/>
    <col min="6404" max="6404" width="9" style="9"/>
    <col min="6405" max="6406" width="8" style="9" customWidth="1"/>
    <col min="6407" max="6407" width="8.875" style="9" bestFit="1" customWidth="1"/>
    <col min="6408" max="6409" width="11.25" style="9" customWidth="1"/>
    <col min="6410" max="6656" width="9" style="9"/>
    <col min="6657" max="6657" width="21.375" style="9" customWidth="1"/>
    <col min="6658" max="6658" width="11.125" style="9" customWidth="1"/>
    <col min="6659" max="6659" width="10.75" style="9" customWidth="1"/>
    <col min="6660" max="6660" width="9" style="9"/>
    <col min="6661" max="6662" width="8" style="9" customWidth="1"/>
    <col min="6663" max="6663" width="8.875" style="9" bestFit="1" customWidth="1"/>
    <col min="6664" max="6665" width="11.25" style="9" customWidth="1"/>
    <col min="6666" max="6912" width="9" style="9"/>
    <col min="6913" max="6913" width="21.375" style="9" customWidth="1"/>
    <col min="6914" max="6914" width="11.125" style="9" customWidth="1"/>
    <col min="6915" max="6915" width="10.75" style="9" customWidth="1"/>
    <col min="6916" max="6916" width="9" style="9"/>
    <col min="6917" max="6918" width="8" style="9" customWidth="1"/>
    <col min="6919" max="6919" width="8.875" style="9" bestFit="1" customWidth="1"/>
    <col min="6920" max="6921" width="11.25" style="9" customWidth="1"/>
    <col min="6922" max="7168" width="9" style="9"/>
    <col min="7169" max="7169" width="21.375" style="9" customWidth="1"/>
    <col min="7170" max="7170" width="11.125" style="9" customWidth="1"/>
    <col min="7171" max="7171" width="10.75" style="9" customWidth="1"/>
    <col min="7172" max="7172" width="9" style="9"/>
    <col min="7173" max="7174" width="8" style="9" customWidth="1"/>
    <col min="7175" max="7175" width="8.875" style="9" bestFit="1" customWidth="1"/>
    <col min="7176" max="7177" width="11.25" style="9" customWidth="1"/>
    <col min="7178" max="7424" width="9" style="9"/>
    <col min="7425" max="7425" width="21.375" style="9" customWidth="1"/>
    <col min="7426" max="7426" width="11.125" style="9" customWidth="1"/>
    <col min="7427" max="7427" width="10.75" style="9" customWidth="1"/>
    <col min="7428" max="7428" width="9" style="9"/>
    <col min="7429" max="7430" width="8" style="9" customWidth="1"/>
    <col min="7431" max="7431" width="8.875" style="9" bestFit="1" customWidth="1"/>
    <col min="7432" max="7433" width="11.25" style="9" customWidth="1"/>
    <col min="7434" max="7680" width="9" style="9"/>
    <col min="7681" max="7681" width="21.375" style="9" customWidth="1"/>
    <col min="7682" max="7682" width="11.125" style="9" customWidth="1"/>
    <col min="7683" max="7683" width="10.75" style="9" customWidth="1"/>
    <col min="7684" max="7684" width="9" style="9"/>
    <col min="7685" max="7686" width="8" style="9" customWidth="1"/>
    <col min="7687" max="7687" width="8.875" style="9" bestFit="1" customWidth="1"/>
    <col min="7688" max="7689" width="11.25" style="9" customWidth="1"/>
    <col min="7690" max="7936" width="9" style="9"/>
    <col min="7937" max="7937" width="21.375" style="9" customWidth="1"/>
    <col min="7938" max="7938" width="11.125" style="9" customWidth="1"/>
    <col min="7939" max="7939" width="10.75" style="9" customWidth="1"/>
    <col min="7940" max="7940" width="9" style="9"/>
    <col min="7941" max="7942" width="8" style="9" customWidth="1"/>
    <col min="7943" max="7943" width="8.875" style="9" bestFit="1" customWidth="1"/>
    <col min="7944" max="7945" width="11.25" style="9" customWidth="1"/>
    <col min="7946" max="8192" width="9" style="9"/>
    <col min="8193" max="8193" width="21.375" style="9" customWidth="1"/>
    <col min="8194" max="8194" width="11.125" style="9" customWidth="1"/>
    <col min="8195" max="8195" width="10.75" style="9" customWidth="1"/>
    <col min="8196" max="8196" width="9" style="9"/>
    <col min="8197" max="8198" width="8" style="9" customWidth="1"/>
    <col min="8199" max="8199" width="8.875" style="9" bestFit="1" customWidth="1"/>
    <col min="8200" max="8201" width="11.25" style="9" customWidth="1"/>
    <col min="8202" max="8448" width="9" style="9"/>
    <col min="8449" max="8449" width="21.375" style="9" customWidth="1"/>
    <col min="8450" max="8450" width="11.125" style="9" customWidth="1"/>
    <col min="8451" max="8451" width="10.75" style="9" customWidth="1"/>
    <col min="8452" max="8452" width="9" style="9"/>
    <col min="8453" max="8454" width="8" style="9" customWidth="1"/>
    <col min="8455" max="8455" width="8.875" style="9" bestFit="1" customWidth="1"/>
    <col min="8456" max="8457" width="11.25" style="9" customWidth="1"/>
    <col min="8458" max="8704" width="9" style="9"/>
    <col min="8705" max="8705" width="21.375" style="9" customWidth="1"/>
    <col min="8706" max="8706" width="11.125" style="9" customWidth="1"/>
    <col min="8707" max="8707" width="10.75" style="9" customWidth="1"/>
    <col min="8708" max="8708" width="9" style="9"/>
    <col min="8709" max="8710" width="8" style="9" customWidth="1"/>
    <col min="8711" max="8711" width="8.875" style="9" bestFit="1" customWidth="1"/>
    <col min="8712" max="8713" width="11.25" style="9" customWidth="1"/>
    <col min="8714" max="8960" width="9" style="9"/>
    <col min="8961" max="8961" width="21.375" style="9" customWidth="1"/>
    <col min="8962" max="8962" width="11.125" style="9" customWidth="1"/>
    <col min="8963" max="8963" width="10.75" style="9" customWidth="1"/>
    <col min="8964" max="8964" width="9" style="9"/>
    <col min="8965" max="8966" width="8" style="9" customWidth="1"/>
    <col min="8967" max="8967" width="8.875" style="9" bestFit="1" customWidth="1"/>
    <col min="8968" max="8969" width="11.25" style="9" customWidth="1"/>
    <col min="8970" max="9216" width="9" style="9"/>
    <col min="9217" max="9217" width="21.375" style="9" customWidth="1"/>
    <col min="9218" max="9218" width="11.125" style="9" customWidth="1"/>
    <col min="9219" max="9219" width="10.75" style="9" customWidth="1"/>
    <col min="9220" max="9220" width="9" style="9"/>
    <col min="9221" max="9222" width="8" style="9" customWidth="1"/>
    <col min="9223" max="9223" width="8.875" style="9" bestFit="1" customWidth="1"/>
    <col min="9224" max="9225" width="11.25" style="9" customWidth="1"/>
    <col min="9226" max="9472" width="9" style="9"/>
    <col min="9473" max="9473" width="21.375" style="9" customWidth="1"/>
    <col min="9474" max="9474" width="11.125" style="9" customWidth="1"/>
    <col min="9475" max="9475" width="10.75" style="9" customWidth="1"/>
    <col min="9476" max="9476" width="9" style="9"/>
    <col min="9477" max="9478" width="8" style="9" customWidth="1"/>
    <col min="9479" max="9479" width="8.875" style="9" bestFit="1" customWidth="1"/>
    <col min="9480" max="9481" width="11.25" style="9" customWidth="1"/>
    <col min="9482" max="9728" width="9" style="9"/>
    <col min="9729" max="9729" width="21.375" style="9" customWidth="1"/>
    <col min="9730" max="9730" width="11.125" style="9" customWidth="1"/>
    <col min="9731" max="9731" width="10.75" style="9" customWidth="1"/>
    <col min="9732" max="9732" width="9" style="9"/>
    <col min="9733" max="9734" width="8" style="9" customWidth="1"/>
    <col min="9735" max="9735" width="8.875" style="9" bestFit="1" customWidth="1"/>
    <col min="9736" max="9737" width="11.25" style="9" customWidth="1"/>
    <col min="9738" max="9984" width="9" style="9"/>
    <col min="9985" max="9985" width="21.375" style="9" customWidth="1"/>
    <col min="9986" max="9986" width="11.125" style="9" customWidth="1"/>
    <col min="9987" max="9987" width="10.75" style="9" customWidth="1"/>
    <col min="9988" max="9988" width="9" style="9"/>
    <col min="9989" max="9990" width="8" style="9" customWidth="1"/>
    <col min="9991" max="9991" width="8.875" style="9" bestFit="1" customWidth="1"/>
    <col min="9992" max="9993" width="11.25" style="9" customWidth="1"/>
    <col min="9994" max="10240" width="9" style="9"/>
    <col min="10241" max="10241" width="21.375" style="9" customWidth="1"/>
    <col min="10242" max="10242" width="11.125" style="9" customWidth="1"/>
    <col min="10243" max="10243" width="10.75" style="9" customWidth="1"/>
    <col min="10244" max="10244" width="9" style="9"/>
    <col min="10245" max="10246" width="8" style="9" customWidth="1"/>
    <col min="10247" max="10247" width="8.875" style="9" bestFit="1" customWidth="1"/>
    <col min="10248" max="10249" width="11.25" style="9" customWidth="1"/>
    <col min="10250" max="10496" width="9" style="9"/>
    <col min="10497" max="10497" width="21.375" style="9" customWidth="1"/>
    <col min="10498" max="10498" width="11.125" style="9" customWidth="1"/>
    <col min="10499" max="10499" width="10.75" style="9" customWidth="1"/>
    <col min="10500" max="10500" width="9" style="9"/>
    <col min="10501" max="10502" width="8" style="9" customWidth="1"/>
    <col min="10503" max="10503" width="8.875" style="9" bestFit="1" customWidth="1"/>
    <col min="10504" max="10505" width="11.25" style="9" customWidth="1"/>
    <col min="10506" max="10752" width="9" style="9"/>
    <col min="10753" max="10753" width="21.375" style="9" customWidth="1"/>
    <col min="10754" max="10754" width="11.125" style="9" customWidth="1"/>
    <col min="10755" max="10755" width="10.75" style="9" customWidth="1"/>
    <col min="10756" max="10756" width="9" style="9"/>
    <col min="10757" max="10758" width="8" style="9" customWidth="1"/>
    <col min="10759" max="10759" width="8.875" style="9" bestFit="1" customWidth="1"/>
    <col min="10760" max="10761" width="11.25" style="9" customWidth="1"/>
    <col min="10762" max="11008" width="9" style="9"/>
    <col min="11009" max="11009" width="21.375" style="9" customWidth="1"/>
    <col min="11010" max="11010" width="11.125" style="9" customWidth="1"/>
    <col min="11011" max="11011" width="10.75" style="9" customWidth="1"/>
    <col min="11012" max="11012" width="9" style="9"/>
    <col min="11013" max="11014" width="8" style="9" customWidth="1"/>
    <col min="11015" max="11015" width="8.875" style="9" bestFit="1" customWidth="1"/>
    <col min="11016" max="11017" width="11.25" style="9" customWidth="1"/>
    <col min="11018" max="11264" width="9" style="9"/>
    <col min="11265" max="11265" width="21.375" style="9" customWidth="1"/>
    <col min="11266" max="11266" width="11.125" style="9" customWidth="1"/>
    <col min="11267" max="11267" width="10.75" style="9" customWidth="1"/>
    <col min="11268" max="11268" width="9" style="9"/>
    <col min="11269" max="11270" width="8" style="9" customWidth="1"/>
    <col min="11271" max="11271" width="8.875" style="9" bestFit="1" customWidth="1"/>
    <col min="11272" max="11273" width="11.25" style="9" customWidth="1"/>
    <col min="11274" max="11520" width="9" style="9"/>
    <col min="11521" max="11521" width="21.375" style="9" customWidth="1"/>
    <col min="11522" max="11522" width="11.125" style="9" customWidth="1"/>
    <col min="11523" max="11523" width="10.75" style="9" customWidth="1"/>
    <col min="11524" max="11524" width="9" style="9"/>
    <col min="11525" max="11526" width="8" style="9" customWidth="1"/>
    <col min="11527" max="11527" width="8.875" style="9" bestFit="1" customWidth="1"/>
    <col min="11528" max="11529" width="11.25" style="9" customWidth="1"/>
    <col min="11530" max="11776" width="9" style="9"/>
    <col min="11777" max="11777" width="21.375" style="9" customWidth="1"/>
    <col min="11778" max="11778" width="11.125" style="9" customWidth="1"/>
    <col min="11779" max="11779" width="10.75" style="9" customWidth="1"/>
    <col min="11780" max="11780" width="9" style="9"/>
    <col min="11781" max="11782" width="8" style="9" customWidth="1"/>
    <col min="11783" max="11783" width="8.875" style="9" bestFit="1" customWidth="1"/>
    <col min="11784" max="11785" width="11.25" style="9" customWidth="1"/>
    <col min="11786" max="12032" width="9" style="9"/>
    <col min="12033" max="12033" width="21.375" style="9" customWidth="1"/>
    <col min="12034" max="12034" width="11.125" style="9" customWidth="1"/>
    <col min="12035" max="12035" width="10.75" style="9" customWidth="1"/>
    <col min="12036" max="12036" width="9" style="9"/>
    <col min="12037" max="12038" width="8" style="9" customWidth="1"/>
    <col min="12039" max="12039" width="8.875" style="9" bestFit="1" customWidth="1"/>
    <col min="12040" max="12041" width="11.25" style="9" customWidth="1"/>
    <col min="12042" max="12288" width="9" style="9"/>
    <col min="12289" max="12289" width="21.375" style="9" customWidth="1"/>
    <col min="12290" max="12290" width="11.125" style="9" customWidth="1"/>
    <col min="12291" max="12291" width="10.75" style="9" customWidth="1"/>
    <col min="12292" max="12292" width="9" style="9"/>
    <col min="12293" max="12294" width="8" style="9" customWidth="1"/>
    <col min="12295" max="12295" width="8.875" style="9" bestFit="1" customWidth="1"/>
    <col min="12296" max="12297" width="11.25" style="9" customWidth="1"/>
    <col min="12298" max="12544" width="9" style="9"/>
    <col min="12545" max="12545" width="21.375" style="9" customWidth="1"/>
    <col min="12546" max="12546" width="11.125" style="9" customWidth="1"/>
    <col min="12547" max="12547" width="10.75" style="9" customWidth="1"/>
    <col min="12548" max="12548" width="9" style="9"/>
    <col min="12549" max="12550" width="8" style="9" customWidth="1"/>
    <col min="12551" max="12551" width="8.875" style="9" bestFit="1" customWidth="1"/>
    <col min="12552" max="12553" width="11.25" style="9" customWidth="1"/>
    <col min="12554" max="12800" width="9" style="9"/>
    <col min="12801" max="12801" width="21.375" style="9" customWidth="1"/>
    <col min="12802" max="12802" width="11.125" style="9" customWidth="1"/>
    <col min="12803" max="12803" width="10.75" style="9" customWidth="1"/>
    <col min="12804" max="12804" width="9" style="9"/>
    <col min="12805" max="12806" width="8" style="9" customWidth="1"/>
    <col min="12807" max="12807" width="8.875" style="9" bestFit="1" customWidth="1"/>
    <col min="12808" max="12809" width="11.25" style="9" customWidth="1"/>
    <col min="12810" max="13056" width="9" style="9"/>
    <col min="13057" max="13057" width="21.375" style="9" customWidth="1"/>
    <col min="13058" max="13058" width="11.125" style="9" customWidth="1"/>
    <col min="13059" max="13059" width="10.75" style="9" customWidth="1"/>
    <col min="13060" max="13060" width="9" style="9"/>
    <col min="13061" max="13062" width="8" style="9" customWidth="1"/>
    <col min="13063" max="13063" width="8.875" style="9" bestFit="1" customWidth="1"/>
    <col min="13064" max="13065" width="11.25" style="9" customWidth="1"/>
    <col min="13066" max="13312" width="9" style="9"/>
    <col min="13313" max="13313" width="21.375" style="9" customWidth="1"/>
    <col min="13314" max="13314" width="11.125" style="9" customWidth="1"/>
    <col min="13315" max="13315" width="10.75" style="9" customWidth="1"/>
    <col min="13316" max="13316" width="9" style="9"/>
    <col min="13317" max="13318" width="8" style="9" customWidth="1"/>
    <col min="13319" max="13319" width="8.875" style="9" bestFit="1" customWidth="1"/>
    <col min="13320" max="13321" width="11.25" style="9" customWidth="1"/>
    <col min="13322" max="13568" width="9" style="9"/>
    <col min="13569" max="13569" width="21.375" style="9" customWidth="1"/>
    <col min="13570" max="13570" width="11.125" style="9" customWidth="1"/>
    <col min="13571" max="13571" width="10.75" style="9" customWidth="1"/>
    <col min="13572" max="13572" width="9" style="9"/>
    <col min="13573" max="13574" width="8" style="9" customWidth="1"/>
    <col min="13575" max="13575" width="8.875" style="9" bestFit="1" customWidth="1"/>
    <col min="13576" max="13577" width="11.25" style="9" customWidth="1"/>
    <col min="13578" max="13824" width="9" style="9"/>
    <col min="13825" max="13825" width="21.375" style="9" customWidth="1"/>
    <col min="13826" max="13826" width="11.125" style="9" customWidth="1"/>
    <col min="13827" max="13827" width="10.75" style="9" customWidth="1"/>
    <col min="13828" max="13828" width="9" style="9"/>
    <col min="13829" max="13830" width="8" style="9" customWidth="1"/>
    <col min="13831" max="13831" width="8.875" style="9" bestFit="1" customWidth="1"/>
    <col min="13832" max="13833" width="11.25" style="9" customWidth="1"/>
    <col min="13834" max="14080" width="9" style="9"/>
    <col min="14081" max="14081" width="21.375" style="9" customWidth="1"/>
    <col min="14082" max="14082" width="11.125" style="9" customWidth="1"/>
    <col min="14083" max="14083" width="10.75" style="9" customWidth="1"/>
    <col min="14084" max="14084" width="9" style="9"/>
    <col min="14085" max="14086" width="8" style="9" customWidth="1"/>
    <col min="14087" max="14087" width="8.875" style="9" bestFit="1" customWidth="1"/>
    <col min="14088" max="14089" width="11.25" style="9" customWidth="1"/>
    <col min="14090" max="14336" width="9" style="9"/>
    <col min="14337" max="14337" width="21.375" style="9" customWidth="1"/>
    <col min="14338" max="14338" width="11.125" style="9" customWidth="1"/>
    <col min="14339" max="14339" width="10.75" style="9" customWidth="1"/>
    <col min="14340" max="14340" width="9" style="9"/>
    <col min="14341" max="14342" width="8" style="9" customWidth="1"/>
    <col min="14343" max="14343" width="8.875" style="9" bestFit="1" customWidth="1"/>
    <col min="14344" max="14345" width="11.25" style="9" customWidth="1"/>
    <col min="14346" max="14592" width="9" style="9"/>
    <col min="14593" max="14593" width="21.375" style="9" customWidth="1"/>
    <col min="14594" max="14594" width="11.125" style="9" customWidth="1"/>
    <col min="14595" max="14595" width="10.75" style="9" customWidth="1"/>
    <col min="14596" max="14596" width="9" style="9"/>
    <col min="14597" max="14598" width="8" style="9" customWidth="1"/>
    <col min="14599" max="14599" width="8.875" style="9" bestFit="1" customWidth="1"/>
    <col min="14600" max="14601" width="11.25" style="9" customWidth="1"/>
    <col min="14602" max="14848" width="9" style="9"/>
    <col min="14849" max="14849" width="21.375" style="9" customWidth="1"/>
    <col min="14850" max="14850" width="11.125" style="9" customWidth="1"/>
    <col min="14851" max="14851" width="10.75" style="9" customWidth="1"/>
    <col min="14852" max="14852" width="9" style="9"/>
    <col min="14853" max="14854" width="8" style="9" customWidth="1"/>
    <col min="14855" max="14855" width="8.875" style="9" bestFit="1" customWidth="1"/>
    <col min="14856" max="14857" width="11.25" style="9" customWidth="1"/>
    <col min="14858" max="15104" width="9" style="9"/>
    <col min="15105" max="15105" width="21.375" style="9" customWidth="1"/>
    <col min="15106" max="15106" width="11.125" style="9" customWidth="1"/>
    <col min="15107" max="15107" width="10.75" style="9" customWidth="1"/>
    <col min="15108" max="15108" width="9" style="9"/>
    <col min="15109" max="15110" width="8" style="9" customWidth="1"/>
    <col min="15111" max="15111" width="8.875" style="9" bestFit="1" customWidth="1"/>
    <col min="15112" max="15113" width="11.25" style="9" customWidth="1"/>
    <col min="15114" max="15360" width="9" style="9"/>
    <col min="15361" max="15361" width="21.375" style="9" customWidth="1"/>
    <col min="15362" max="15362" width="11.125" style="9" customWidth="1"/>
    <col min="15363" max="15363" width="10.75" style="9" customWidth="1"/>
    <col min="15364" max="15364" width="9" style="9"/>
    <col min="15365" max="15366" width="8" style="9" customWidth="1"/>
    <col min="15367" max="15367" width="8.875" style="9" bestFit="1" customWidth="1"/>
    <col min="15368" max="15369" width="11.25" style="9" customWidth="1"/>
    <col min="15370" max="15616" width="9" style="9"/>
    <col min="15617" max="15617" width="21.375" style="9" customWidth="1"/>
    <col min="15618" max="15618" width="11.125" style="9" customWidth="1"/>
    <col min="15619" max="15619" width="10.75" style="9" customWidth="1"/>
    <col min="15620" max="15620" width="9" style="9"/>
    <col min="15621" max="15622" width="8" style="9" customWidth="1"/>
    <col min="15623" max="15623" width="8.875" style="9" bestFit="1" customWidth="1"/>
    <col min="15624" max="15625" width="11.25" style="9" customWidth="1"/>
    <col min="15626" max="15872" width="9" style="9"/>
    <col min="15873" max="15873" width="21.375" style="9" customWidth="1"/>
    <col min="15874" max="15874" width="11.125" style="9" customWidth="1"/>
    <col min="15875" max="15875" width="10.75" style="9" customWidth="1"/>
    <col min="15876" max="15876" width="9" style="9"/>
    <col min="15877" max="15878" width="8" style="9" customWidth="1"/>
    <col min="15879" max="15879" width="8.875" style="9" bestFit="1" customWidth="1"/>
    <col min="15880" max="15881" width="11.25" style="9" customWidth="1"/>
    <col min="15882" max="16128" width="9" style="9"/>
    <col min="16129" max="16129" width="21.375" style="9" customWidth="1"/>
    <col min="16130" max="16130" width="11.125" style="9" customWidth="1"/>
    <col min="16131" max="16131" width="10.75" style="9" customWidth="1"/>
    <col min="16132" max="16132" width="9" style="9"/>
    <col min="16133" max="16134" width="8" style="9" customWidth="1"/>
    <col min="16135" max="16135" width="8.875" style="9" bestFit="1" customWidth="1"/>
    <col min="16136" max="16137" width="11.25" style="9" customWidth="1"/>
    <col min="16138" max="16384" width="9" style="9"/>
  </cols>
  <sheetData>
    <row r="1" spans="1:19" s="6" customFormat="1" ht="4.5" customHeight="1">
      <c r="B1" s="7" t="s">
        <v>364</v>
      </c>
      <c r="C1" s="7"/>
      <c r="D1" s="7"/>
      <c r="E1" s="7"/>
      <c r="F1" s="7"/>
      <c r="G1" s="7"/>
      <c r="H1" s="7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ht="27.75" customHeight="1">
      <c r="B2" s="7"/>
      <c r="C2" s="7"/>
      <c r="D2" s="7"/>
      <c r="E2" s="7"/>
      <c r="F2" s="7"/>
      <c r="G2" s="7"/>
      <c r="H2" s="7"/>
    </row>
    <row r="3" spans="1:19" ht="19.5" customHeight="1">
      <c r="A3" s="11" t="s">
        <v>365</v>
      </c>
      <c r="C3" s="12"/>
      <c r="D3" s="13"/>
      <c r="E3" s="14"/>
      <c r="F3" s="14"/>
      <c r="G3" s="14"/>
    </row>
    <row r="4" spans="1:19" ht="19.5" customHeight="1">
      <c r="A4" s="11" t="s">
        <v>366</v>
      </c>
      <c r="C4" s="12"/>
      <c r="D4" s="13"/>
      <c r="E4" s="14"/>
      <c r="F4" s="14"/>
      <c r="G4" s="15"/>
      <c r="H4" s="15"/>
      <c r="I4" s="15"/>
    </row>
    <row r="5" spans="1:19" ht="12" customHeight="1" thickBot="1">
      <c r="G5" s="16"/>
      <c r="H5" s="17" t="str">
        <f>"작성일 : "&amp;TEXT(_xlfn.XLOOKUP(B7,near_miss_excel_view!C:C,near_miss_excel_view!D:D,"없음",0,1),"YY-MM-DD")</f>
        <v>작성일 : 26-04-13</v>
      </c>
      <c r="I5" s="17"/>
    </row>
    <row r="6" spans="1:19" s="26" customFormat="1" ht="18.75" customHeight="1">
      <c r="A6" s="18" t="s">
        <v>367</v>
      </c>
      <c r="B6" s="19" t="s">
        <v>368</v>
      </c>
      <c r="C6" s="20"/>
      <c r="D6" s="21" t="s">
        <v>369</v>
      </c>
      <c r="E6" s="22" t="str">
        <f>_xlfn.XLOOKUP(B7,near_miss_excel_view!C:C,near_miss_excel_view!B:B,"없음",0,1)</f>
        <v>이정민</v>
      </c>
      <c r="F6" s="23"/>
      <c r="G6" s="21" t="s">
        <v>370</v>
      </c>
      <c r="H6" s="22"/>
      <c r="I6" s="24"/>
      <c r="J6" s="25"/>
      <c r="K6" s="25"/>
      <c r="L6" s="25"/>
      <c r="M6" s="25"/>
      <c r="N6" s="25"/>
      <c r="O6" s="25"/>
      <c r="P6" s="25"/>
      <c r="Q6" s="25"/>
      <c r="R6" s="25"/>
      <c r="S6" s="25"/>
    </row>
    <row r="7" spans="1:19" s="26" customFormat="1" ht="18.75" customHeight="1">
      <c r="A7" s="27" t="s">
        <v>371</v>
      </c>
      <c r="B7" s="28" t="s">
        <v>445</v>
      </c>
      <c r="C7" s="29"/>
      <c r="D7" s="29"/>
      <c r="E7" s="29"/>
      <c r="F7" s="29"/>
      <c r="G7" s="29"/>
      <c r="H7" s="29"/>
      <c r="I7" s="30"/>
      <c r="J7" s="25"/>
      <c r="K7" s="25"/>
      <c r="L7" s="25"/>
      <c r="M7" s="25"/>
      <c r="N7" s="25"/>
      <c r="O7" s="25"/>
      <c r="P7" s="25"/>
      <c r="Q7" s="25"/>
      <c r="R7" s="25"/>
      <c r="S7" s="25"/>
    </row>
    <row r="8" spans="1:19" s="26" customFormat="1" ht="4.5" customHeight="1">
      <c r="A8" s="31"/>
      <c r="B8" s="32"/>
      <c r="I8" s="33"/>
      <c r="J8" s="25"/>
      <c r="K8" s="25"/>
      <c r="L8" s="25"/>
      <c r="M8" s="25"/>
      <c r="N8" s="25"/>
      <c r="O8" s="25"/>
      <c r="P8" s="25"/>
      <c r="Q8" s="25"/>
      <c r="R8" s="25"/>
      <c r="S8" s="25"/>
    </row>
    <row r="9" spans="1:19" s="26" customFormat="1" ht="16.5" customHeight="1">
      <c r="A9" s="34" t="s">
        <v>372</v>
      </c>
      <c r="B9" s="35" t="str">
        <f>" 1. 발생 일시 :    "&amp;TEXT(_xlfn.XLOOKUP(B7,near_miss_excel_view!C:C,near_miss_excel_view!D:D,"없음",0,1),"YYYY년 MM월 DD일 hh시 mm분")&amp;" 경"</f>
        <v xml:space="preserve"> 1. 발생 일시 :    2026년 04월 13일 10시 20분 경</v>
      </c>
      <c r="C9" s="36"/>
      <c r="I9" s="33"/>
      <c r="J9" s="25"/>
      <c r="K9" s="25"/>
      <c r="L9" s="25"/>
      <c r="M9" s="25"/>
      <c r="N9" s="25"/>
      <c r="O9" s="25"/>
      <c r="P9" s="25"/>
      <c r="Q9" s="25"/>
      <c r="R9" s="25"/>
      <c r="S9" s="25"/>
    </row>
    <row r="10" spans="1:19" s="26" customFormat="1" ht="16.5" customHeight="1">
      <c r="A10" s="34" t="s">
        <v>373</v>
      </c>
      <c r="B10" s="37" t="str">
        <f>" 2. 발생 장소 :    "&amp;_xlfn.XLOOKUP(B7,near_miss_excel_view!C:C,near_miss_excel_view!E:E,"없음",0,1)</f>
        <v xml:space="preserve"> 2. 발생 장소 :    광산 320갱 BC2벨트</v>
      </c>
      <c r="I10" s="33"/>
      <c r="J10" s="25"/>
      <c r="K10" s="25"/>
      <c r="L10" s="25"/>
      <c r="M10" s="25"/>
      <c r="N10" s="25"/>
      <c r="O10" s="25"/>
      <c r="P10" s="25"/>
      <c r="Q10" s="25"/>
      <c r="R10" s="25"/>
      <c r="S10" s="25"/>
    </row>
    <row r="11" spans="1:19" s="26" customFormat="1" ht="16.5" customHeight="1">
      <c r="A11" s="38" t="s">
        <v>374</v>
      </c>
      <c r="B11" s="39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BC2벨트 구조물 위에 안착해놨던 이동식 비계를 CRUSHER방향으로 테스트 겸 밀던 중 벨트위에 고여있던 물들과 부석들이 발에 걸리며 미끄러질뻔함.
원인: 이동하기 전에 이동경로에 장애물이 있는지 사전 조사실시 미흡.</v>
      </c>
      <c r="C11" s="40"/>
      <c r="D11" s="40"/>
      <c r="E11" s="40"/>
      <c r="F11" s="40"/>
      <c r="G11" s="40"/>
      <c r="H11" s="40"/>
      <c r="I11" s="41"/>
      <c r="J11" s="25"/>
      <c r="K11" s="25"/>
      <c r="L11" s="25"/>
      <c r="M11" s="25"/>
      <c r="N11" s="25"/>
      <c r="O11" s="25"/>
      <c r="P11" s="25"/>
      <c r="Q11" s="25"/>
      <c r="R11" s="25"/>
      <c r="S11" s="25"/>
    </row>
    <row r="12" spans="1:19" s="26" customFormat="1" ht="16.5" customHeight="1">
      <c r="A12" s="42" t="s">
        <v>375</v>
      </c>
      <c r="B12" s="39"/>
      <c r="C12" s="40"/>
      <c r="D12" s="40"/>
      <c r="E12" s="40"/>
      <c r="F12" s="40"/>
      <c r="G12" s="40"/>
      <c r="H12" s="40"/>
      <c r="I12" s="41"/>
      <c r="J12" s="25"/>
      <c r="K12" s="25"/>
      <c r="L12" s="25"/>
      <c r="M12" s="25"/>
      <c r="N12" s="25"/>
      <c r="O12" s="25"/>
      <c r="P12" s="25"/>
      <c r="Q12" s="25"/>
      <c r="R12" s="25"/>
      <c r="S12" s="25"/>
    </row>
    <row r="13" spans="1:19" s="26" customFormat="1" ht="16.5" customHeight="1">
      <c r="A13" s="42"/>
      <c r="B13" s="39"/>
      <c r="C13" s="40"/>
      <c r="D13" s="40"/>
      <c r="E13" s="40"/>
      <c r="F13" s="40"/>
      <c r="G13" s="40"/>
      <c r="H13" s="40"/>
      <c r="I13" s="41"/>
      <c r="J13" s="25"/>
      <c r="K13" s="25"/>
      <c r="L13" s="25"/>
      <c r="M13" s="25"/>
      <c r="N13" s="25"/>
      <c r="O13" s="25"/>
      <c r="P13" s="25"/>
      <c r="Q13" s="25"/>
      <c r="R13" s="25"/>
      <c r="S13" s="25"/>
    </row>
    <row r="14" spans="1:19" s="26" customFormat="1" ht="16.5" customHeight="1">
      <c r="A14" s="42"/>
      <c r="B14" s="39"/>
      <c r="C14" s="40"/>
      <c r="D14" s="40"/>
      <c r="E14" s="40"/>
      <c r="F14" s="40"/>
      <c r="G14" s="40"/>
      <c r="H14" s="40"/>
      <c r="I14" s="41"/>
      <c r="J14" s="25"/>
      <c r="K14" s="25"/>
      <c r="L14" s="25"/>
      <c r="M14" s="25"/>
      <c r="N14" s="25"/>
      <c r="O14" s="25"/>
      <c r="P14" s="25"/>
      <c r="Q14" s="25"/>
      <c r="R14" s="25"/>
      <c r="S14" s="25"/>
    </row>
    <row r="15" spans="1:19" s="26" customFormat="1" ht="16.5" customHeight="1">
      <c r="A15" s="34"/>
      <c r="B15" s="39"/>
      <c r="C15" s="40"/>
      <c r="D15" s="40"/>
      <c r="E15" s="40"/>
      <c r="F15" s="40"/>
      <c r="G15" s="40"/>
      <c r="H15" s="40"/>
      <c r="I15" s="41"/>
      <c r="J15" s="25"/>
      <c r="K15" s="25"/>
      <c r="L15" s="25"/>
      <c r="M15" s="25"/>
      <c r="N15" s="25"/>
      <c r="O15" s="25"/>
      <c r="P15" s="25"/>
      <c r="Q15" s="25"/>
      <c r="R15" s="25"/>
      <c r="S15" s="25"/>
    </row>
    <row r="16" spans="1:19" s="26" customFormat="1" ht="17.45" customHeight="1" thickBot="1">
      <c r="A16" s="34"/>
      <c r="B16" s="39"/>
      <c r="C16" s="40"/>
      <c r="D16" s="40"/>
      <c r="E16" s="40"/>
      <c r="F16" s="40"/>
      <c r="G16" s="40"/>
      <c r="H16" s="40"/>
      <c r="I16" s="41"/>
      <c r="J16" s="25" t="s">
        <v>376</v>
      </c>
      <c r="K16" s="25"/>
      <c r="L16" s="25" t="s">
        <v>377</v>
      </c>
      <c r="M16" s="25"/>
      <c r="N16" s="25" t="s">
        <v>378</v>
      </c>
      <c r="O16" s="25"/>
      <c r="P16" s="25" t="s">
        <v>379</v>
      </c>
      <c r="Q16" s="25"/>
      <c r="R16" s="25" t="s">
        <v>380</v>
      </c>
      <c r="S16" s="25"/>
    </row>
    <row r="17" spans="1:19" s="26" customFormat="1" ht="16.149999999999999" customHeight="1">
      <c r="A17" s="43" t="s">
        <v>381</v>
      </c>
      <c r="B17" s="44"/>
      <c r="C17" s="44"/>
      <c r="D17" s="44"/>
      <c r="E17" s="44"/>
      <c r="F17" s="44"/>
      <c r="G17" s="44"/>
      <c r="H17" s="44"/>
      <c r="I17" s="45"/>
      <c r="J17" s="25" t="str">
        <f>_xlfn.XLOOKUP(B7,near_miss_excel_view!$C:$C,near_miss_excel_view!H:H,"없음",0,1)</f>
        <v>전도</v>
      </c>
      <c r="K17" s="25"/>
      <c r="L17" s="25" t="str">
        <f>_xlfn.XLOOKUP(B7,near_miss_excel_view!$C:$C,near_miss_excel_view!I:I,"없음",0,1)</f>
        <v>통로</v>
      </c>
      <c r="M17" s="25"/>
      <c r="N17" s="25" t="str">
        <f>_xlfn.XLOOKUP(B7,near_miss_excel_view!$C:$C,near_miss_excel_view!J:J,"없음",0,1)</f>
        <v>기타: 무거운 짐 취급</v>
      </c>
      <c r="O17" s="25"/>
      <c r="P17" s="25" t="str">
        <f>_xlfn.XLOOKUP(B7,near_miss_excel_view!$C:$C,near_miss_excel_view!K:K,"없음",0,1)</f>
        <v>몸의 균형이 불안정해짐</v>
      </c>
      <c r="Q17" s="25"/>
      <c r="R17" s="25" t="str">
        <f>_xlfn.XLOOKUP(B7,near_miss_excel_view!$C:$C,near_miss_excel_view!L:L,"없음",0,1)</f>
        <v>서두름</v>
      </c>
      <c r="S17" s="25"/>
    </row>
    <row r="18" spans="1:19" s="26" customFormat="1" ht="15.75" customHeight="1">
      <c r="A18" s="46" t="s">
        <v>382</v>
      </c>
      <c r="B18" s="47"/>
      <c r="C18" s="48"/>
      <c r="D18" s="49" t="s">
        <v>383</v>
      </c>
      <c r="E18" s="50"/>
      <c r="F18" s="50"/>
      <c r="G18" s="51"/>
      <c r="H18" s="52"/>
      <c r="I18" s="53"/>
      <c r="J18" s="25"/>
      <c r="K18" s="25"/>
      <c r="L18" s="25"/>
      <c r="M18" s="25"/>
      <c r="N18" s="25"/>
      <c r="O18" s="25"/>
      <c r="P18" s="25"/>
      <c r="Q18" s="25"/>
      <c r="R18" s="25"/>
      <c r="S18" s="25"/>
    </row>
    <row r="19" spans="1:19" s="26" customFormat="1" ht="16.149999999999999" customHeight="1">
      <c r="A19" s="54"/>
      <c r="B19" s="55"/>
      <c r="C19" s="56"/>
      <c r="D19" s="57"/>
      <c r="E19" s="58"/>
      <c r="F19" s="58"/>
      <c r="G19" s="58"/>
      <c r="H19" s="58"/>
      <c r="I19" s="59"/>
      <c r="J19" s="25" t="s">
        <v>384</v>
      </c>
      <c r="K19" s="25" t="b">
        <f t="shared" ref="K19:K36" si="0">IF(J19=$J$17,TRUE,FALSE)</f>
        <v>0</v>
      </c>
      <c r="L19" s="25" t="s">
        <v>168</v>
      </c>
      <c r="M19" s="25" t="b">
        <f>IF($L$17=L19,TRUE,FALSE)</f>
        <v>1</v>
      </c>
      <c r="N19" s="25" t="s">
        <v>385</v>
      </c>
      <c r="O19" s="25" t="b">
        <f t="shared" ref="O19:O26" si="1">IF($N$17=N19,TRUE,FALSE)</f>
        <v>0</v>
      </c>
      <c r="P19" s="25" t="s">
        <v>35</v>
      </c>
      <c r="Q19" s="25" t="b">
        <f>IF($P$17=P19,TRUE,FALSE)</f>
        <v>0</v>
      </c>
      <c r="R19" s="25" t="s">
        <v>36</v>
      </c>
      <c r="S19" s="25" t="b">
        <f>IF($R$17=R19,TRUE,FALSE)</f>
        <v>1</v>
      </c>
    </row>
    <row r="20" spans="1:19" s="26" customFormat="1" ht="16.149999999999999" customHeight="1">
      <c r="A20" s="54"/>
      <c r="B20" s="55"/>
      <c r="C20" s="56"/>
      <c r="D20" s="60"/>
      <c r="E20" s="55"/>
      <c r="F20" s="55"/>
      <c r="G20" s="55"/>
      <c r="H20" s="55"/>
      <c r="I20" s="61"/>
      <c r="J20" s="25" t="s">
        <v>32</v>
      </c>
      <c r="K20" s="25" t="b">
        <f t="shared" si="0"/>
        <v>1</v>
      </c>
      <c r="L20" s="25" t="s">
        <v>386</v>
      </c>
      <c r="M20" s="25" t="b">
        <f>IF($L$17=L20,TRUE,FALSE)</f>
        <v>0</v>
      </c>
      <c r="N20" s="25" t="s">
        <v>387</v>
      </c>
      <c r="O20" s="25" t="b">
        <f t="shared" si="1"/>
        <v>0</v>
      </c>
      <c r="P20" s="25" t="s">
        <v>158</v>
      </c>
      <c r="Q20" s="25" t="b">
        <f>IF($P$17=P20,TRUE,FALSE)</f>
        <v>1</v>
      </c>
      <c r="R20" s="25" t="s">
        <v>388</v>
      </c>
      <c r="S20" s="25" t="b">
        <f>IF($R$17=R20,TRUE,FALSE)</f>
        <v>0</v>
      </c>
    </row>
    <row r="21" spans="1:19" s="26" customFormat="1" ht="16.149999999999999" customHeight="1">
      <c r="A21" s="54"/>
      <c r="B21" s="55"/>
      <c r="C21" s="56"/>
      <c r="D21" s="60"/>
      <c r="E21" s="55"/>
      <c r="F21" s="55"/>
      <c r="G21" s="55"/>
      <c r="H21" s="55"/>
      <c r="I21" s="61"/>
      <c r="J21" s="25" t="s">
        <v>389</v>
      </c>
      <c r="K21" s="25" t="b">
        <f t="shared" si="0"/>
        <v>0</v>
      </c>
      <c r="L21" s="25" t="s">
        <v>390</v>
      </c>
      <c r="M21" s="25" t="b">
        <f>IF($L$17=L21,TRUE,FALSE)</f>
        <v>0</v>
      </c>
      <c r="N21" s="25" t="s">
        <v>391</v>
      </c>
      <c r="O21" s="25" t="b">
        <f t="shared" si="1"/>
        <v>0</v>
      </c>
      <c r="P21" s="25" t="s">
        <v>169</v>
      </c>
      <c r="Q21" s="25" t="b">
        <f>IF($P$17=P21,TRUE,FALSE)</f>
        <v>0</v>
      </c>
      <c r="R21" s="25" t="s">
        <v>392</v>
      </c>
      <c r="S21" s="25" t="b">
        <f>IF($R$17=R21,TRUE,FALSE)</f>
        <v>0</v>
      </c>
    </row>
    <row r="22" spans="1:19" s="26" customFormat="1" ht="16.149999999999999" customHeight="1">
      <c r="A22" s="54"/>
      <c r="B22" s="55"/>
      <c r="C22" s="56"/>
      <c r="D22" s="60"/>
      <c r="E22" s="55"/>
      <c r="F22" s="55"/>
      <c r="G22" s="55"/>
      <c r="H22" s="55"/>
      <c r="I22" s="61"/>
      <c r="J22" s="25" t="s">
        <v>393</v>
      </c>
      <c r="K22" s="25" t="b">
        <f t="shared" si="0"/>
        <v>0</v>
      </c>
      <c r="L22" s="25" t="s">
        <v>394</v>
      </c>
      <c r="M22" s="25" t="b">
        <f t="shared" ref="M22:M36" si="2">IF($L$17=L22,TRUE,FALSE)</f>
        <v>0</v>
      </c>
      <c r="N22" s="25" t="s">
        <v>395</v>
      </c>
      <c r="O22" s="25" t="b">
        <f t="shared" si="1"/>
        <v>0</v>
      </c>
      <c r="P22" s="25" t="s">
        <v>234</v>
      </c>
      <c r="Q22" s="25" t="b">
        <f>IF($P$17=P22,TRUE,FALSE)</f>
        <v>0</v>
      </c>
      <c r="R22" s="25" t="s">
        <v>396</v>
      </c>
      <c r="S22" s="25" t="b">
        <f>IF($R$17=R22,TRUE,FALSE)</f>
        <v>0</v>
      </c>
    </row>
    <row r="23" spans="1:19" s="26" customFormat="1" ht="16.149999999999999" customHeight="1">
      <c r="A23" s="54"/>
      <c r="B23" s="55"/>
      <c r="C23" s="56"/>
      <c r="D23" s="60"/>
      <c r="E23" s="55"/>
      <c r="F23" s="55"/>
      <c r="G23" s="55"/>
      <c r="H23" s="55"/>
      <c r="I23" s="61"/>
      <c r="J23" s="25" t="s">
        <v>397</v>
      </c>
      <c r="K23" s="25" t="b">
        <f t="shared" si="0"/>
        <v>0</v>
      </c>
      <c r="L23" s="25" t="s">
        <v>398</v>
      </c>
      <c r="M23" s="25" t="b">
        <f t="shared" si="2"/>
        <v>0</v>
      </c>
      <c r="N23" s="25" t="s">
        <v>399</v>
      </c>
      <c r="O23" s="25" t="b">
        <f t="shared" si="1"/>
        <v>0</v>
      </c>
      <c r="P23" s="25"/>
      <c r="Q23" s="25"/>
      <c r="R23" s="25"/>
      <c r="S23" s="25"/>
    </row>
    <row r="24" spans="1:19" s="26" customFormat="1" ht="16.149999999999999" customHeight="1">
      <c r="A24" s="54"/>
      <c r="B24" s="55"/>
      <c r="C24" s="56"/>
      <c r="D24" s="60"/>
      <c r="E24" s="55"/>
      <c r="F24" s="55"/>
      <c r="G24" s="55"/>
      <c r="H24" s="55"/>
      <c r="I24" s="61"/>
      <c r="J24" s="25" t="s">
        <v>400</v>
      </c>
      <c r="K24" s="25" t="b">
        <f t="shared" si="0"/>
        <v>0</v>
      </c>
      <c r="L24" s="25" t="s">
        <v>401</v>
      </c>
      <c r="M24" s="25" t="b">
        <f t="shared" si="2"/>
        <v>0</v>
      </c>
      <c r="N24" s="25" t="s">
        <v>233</v>
      </c>
      <c r="O24" s="25" t="b">
        <f t="shared" si="1"/>
        <v>0</v>
      </c>
      <c r="P24" s="25"/>
      <c r="Q24" s="25"/>
      <c r="R24" s="25"/>
      <c r="S24" s="25"/>
    </row>
    <row r="25" spans="1:19" s="26" customFormat="1" ht="16.149999999999999" customHeight="1">
      <c r="A25" s="54"/>
      <c r="B25" s="55"/>
      <c r="C25" s="56"/>
      <c r="D25" s="60"/>
      <c r="E25" s="55"/>
      <c r="F25" s="55"/>
      <c r="G25" s="55"/>
      <c r="H25" s="55"/>
      <c r="I25" s="61"/>
      <c r="J25" s="25" t="s">
        <v>402</v>
      </c>
      <c r="K25" s="25" t="b">
        <f t="shared" si="0"/>
        <v>0</v>
      </c>
      <c r="L25" s="25" t="s">
        <v>403</v>
      </c>
      <c r="M25" s="25" t="b">
        <f t="shared" si="2"/>
        <v>0</v>
      </c>
      <c r="N25" s="25" t="s">
        <v>239</v>
      </c>
      <c r="O25" s="25" t="b">
        <f t="shared" si="1"/>
        <v>0</v>
      </c>
      <c r="P25" s="25"/>
      <c r="Q25" s="25"/>
      <c r="R25" s="25"/>
      <c r="S25" s="25"/>
    </row>
    <row r="26" spans="1:19" s="26" customFormat="1" ht="16.149999999999999" customHeight="1">
      <c r="A26" s="54"/>
      <c r="B26" s="55"/>
      <c r="C26" s="56"/>
      <c r="D26" s="62"/>
      <c r="E26" s="63"/>
      <c r="F26" s="63"/>
      <c r="G26" s="63"/>
      <c r="H26" s="63"/>
      <c r="I26" s="64"/>
      <c r="J26" s="25" t="s">
        <v>232</v>
      </c>
      <c r="K26" s="25" t="b">
        <f t="shared" si="0"/>
        <v>0</v>
      </c>
      <c r="L26" s="25" t="s">
        <v>33</v>
      </c>
      <c r="M26" s="25" t="b">
        <f t="shared" si="2"/>
        <v>0</v>
      </c>
      <c r="N26" s="25" t="s">
        <v>34</v>
      </c>
      <c r="O26" s="25" t="b">
        <f>IF(COUNTIF(N17,"*기타*"),TRUE,FALSE)</f>
        <v>1</v>
      </c>
      <c r="P26" s="25"/>
      <c r="Q26" s="25"/>
      <c r="R26" s="25"/>
      <c r="S26" s="25"/>
    </row>
    <row r="27" spans="1:19" s="26" customFormat="1" ht="15.75" customHeight="1">
      <c r="A27" s="54"/>
      <c r="B27" s="55"/>
      <c r="C27" s="56"/>
      <c r="D27" s="65" t="s">
        <v>404</v>
      </c>
      <c r="E27" s="66"/>
      <c r="F27" s="66"/>
      <c r="G27" s="67"/>
      <c r="H27" s="68"/>
      <c r="I27" s="69"/>
      <c r="J27" s="25" t="s">
        <v>405</v>
      </c>
      <c r="K27" s="25" t="b">
        <f t="shared" si="0"/>
        <v>0</v>
      </c>
      <c r="L27" s="25" t="s">
        <v>406</v>
      </c>
      <c r="M27" s="25" t="b">
        <f t="shared" si="2"/>
        <v>0</v>
      </c>
      <c r="N27" s="25"/>
      <c r="O27" s="25"/>
      <c r="P27" s="25"/>
      <c r="Q27" s="25"/>
      <c r="R27" s="25"/>
      <c r="S27" s="25"/>
    </row>
    <row r="28" spans="1:19" s="26" customFormat="1" ht="16.5" customHeight="1">
      <c r="A28" s="54"/>
      <c r="B28" s="55"/>
      <c r="C28" s="56"/>
      <c r="D28" s="70"/>
      <c r="E28" s="71"/>
      <c r="F28" s="71"/>
      <c r="G28" s="71"/>
      <c r="H28" s="71"/>
      <c r="I28" s="72"/>
      <c r="J28" s="25" t="s">
        <v>407</v>
      </c>
      <c r="K28" s="25" t="b">
        <f t="shared" si="0"/>
        <v>0</v>
      </c>
      <c r="L28" s="25" t="s">
        <v>408</v>
      </c>
      <c r="M28" s="25" t="b">
        <f t="shared" si="2"/>
        <v>0</v>
      </c>
      <c r="N28" s="25"/>
      <c r="O28" s="25"/>
      <c r="P28" s="25"/>
      <c r="Q28" s="25"/>
      <c r="R28" s="25"/>
      <c r="S28" s="25"/>
    </row>
    <row r="29" spans="1:19" s="26" customFormat="1" ht="16.5" customHeight="1">
      <c r="A29" s="54"/>
      <c r="B29" s="55"/>
      <c r="C29" s="56"/>
      <c r="D29" s="73"/>
      <c r="E29" s="74"/>
      <c r="F29" s="74"/>
      <c r="G29" s="74"/>
      <c r="H29" s="74"/>
      <c r="I29" s="75"/>
      <c r="J29" s="25" t="s">
        <v>34</v>
      </c>
      <c r="K29" s="25" t="b">
        <f t="shared" si="0"/>
        <v>0</v>
      </c>
      <c r="L29" s="25" t="s">
        <v>34</v>
      </c>
      <c r="M29" s="25" t="b">
        <f t="shared" si="2"/>
        <v>0</v>
      </c>
      <c r="N29" s="25"/>
      <c r="O29" s="25"/>
      <c r="P29" s="25"/>
      <c r="Q29" s="25"/>
      <c r="R29" s="25"/>
      <c r="S29" s="25"/>
    </row>
    <row r="30" spans="1:19" s="26" customFormat="1" ht="16.5" customHeight="1">
      <c r="A30" s="54"/>
      <c r="B30" s="55"/>
      <c r="C30" s="56"/>
      <c r="D30" s="73"/>
      <c r="E30" s="74"/>
      <c r="F30" s="74"/>
      <c r="G30" s="74"/>
      <c r="H30" s="74"/>
      <c r="I30" s="75"/>
      <c r="J30" s="25" t="s">
        <v>409</v>
      </c>
      <c r="K30" s="25" t="b">
        <f t="shared" si="0"/>
        <v>0</v>
      </c>
      <c r="L30" s="25" t="s">
        <v>410</v>
      </c>
      <c r="M30" s="25" t="b">
        <f t="shared" si="2"/>
        <v>0</v>
      </c>
      <c r="N30" s="25"/>
      <c r="O30" s="25"/>
      <c r="P30" s="25"/>
      <c r="Q30" s="25"/>
      <c r="R30" s="25"/>
      <c r="S30" s="25"/>
    </row>
    <row r="31" spans="1:19" s="26" customFormat="1" ht="16.5" customHeight="1">
      <c r="A31" s="54"/>
      <c r="B31" s="55"/>
      <c r="C31" s="56"/>
      <c r="D31" s="73"/>
      <c r="E31" s="74"/>
      <c r="F31" s="74"/>
      <c r="G31" s="74"/>
      <c r="H31" s="74"/>
      <c r="I31" s="75"/>
      <c r="J31" s="25" t="s">
        <v>411</v>
      </c>
      <c r="K31" s="25" t="b">
        <f t="shared" si="0"/>
        <v>0</v>
      </c>
      <c r="L31" s="25" t="s">
        <v>412</v>
      </c>
      <c r="M31" s="25" t="b">
        <f t="shared" si="2"/>
        <v>0</v>
      </c>
      <c r="N31" s="25"/>
      <c r="O31" s="25"/>
      <c r="P31" s="25"/>
      <c r="Q31" s="25"/>
      <c r="R31" s="25"/>
      <c r="S31" s="25"/>
    </row>
    <row r="32" spans="1:19" s="26" customFormat="1" ht="16.5" customHeight="1">
      <c r="A32" s="54"/>
      <c r="B32" s="55"/>
      <c r="C32" s="56"/>
      <c r="D32" s="73"/>
      <c r="E32" s="74"/>
      <c r="F32" s="74"/>
      <c r="G32" s="74"/>
      <c r="H32" s="74"/>
      <c r="I32" s="75"/>
      <c r="J32" s="25" t="s">
        <v>413</v>
      </c>
      <c r="K32" s="25" t="b">
        <f t="shared" si="0"/>
        <v>0</v>
      </c>
      <c r="L32" s="25" t="s">
        <v>414</v>
      </c>
      <c r="M32" s="25" t="b">
        <f t="shared" si="2"/>
        <v>0</v>
      </c>
      <c r="N32" s="25"/>
      <c r="O32" s="25"/>
      <c r="P32" s="25"/>
      <c r="Q32" s="25"/>
      <c r="R32" s="25"/>
      <c r="S32" s="25"/>
    </row>
    <row r="33" spans="1:19" s="26" customFormat="1" ht="16.5" customHeight="1">
      <c r="A33" s="54"/>
      <c r="B33" s="55"/>
      <c r="C33" s="56"/>
      <c r="D33" s="73"/>
      <c r="E33" s="74"/>
      <c r="F33" s="74"/>
      <c r="G33" s="74"/>
      <c r="H33" s="74"/>
      <c r="I33" s="75"/>
      <c r="J33" s="25" t="s">
        <v>415</v>
      </c>
      <c r="K33" s="25" t="b">
        <f t="shared" si="0"/>
        <v>0</v>
      </c>
      <c r="L33" s="25" t="s">
        <v>240</v>
      </c>
      <c r="M33" s="25" t="b">
        <f t="shared" si="2"/>
        <v>0</v>
      </c>
      <c r="N33" s="25"/>
      <c r="O33" s="25"/>
      <c r="P33" s="25"/>
      <c r="Q33" s="25"/>
      <c r="R33" s="25"/>
      <c r="S33" s="25"/>
    </row>
    <row r="34" spans="1:19" s="26" customFormat="1" ht="16.5" customHeight="1" thickBot="1">
      <c r="A34" s="76"/>
      <c r="B34" s="77"/>
      <c r="C34" s="78"/>
      <c r="D34" s="79"/>
      <c r="E34" s="80"/>
      <c r="F34" s="80"/>
      <c r="G34" s="80"/>
      <c r="H34" s="80"/>
      <c r="I34" s="81"/>
      <c r="J34" s="25" t="s">
        <v>416</v>
      </c>
      <c r="K34" s="25" t="b">
        <f t="shared" si="0"/>
        <v>0</v>
      </c>
      <c r="L34" s="25" t="s">
        <v>417</v>
      </c>
      <c r="M34" s="25" t="b">
        <f t="shared" si="2"/>
        <v>0</v>
      </c>
      <c r="N34" s="25"/>
      <c r="O34" s="25"/>
      <c r="P34" s="25"/>
      <c r="Q34" s="25"/>
      <c r="R34" s="25"/>
      <c r="S34" s="25"/>
    </row>
    <row r="35" spans="1:19" s="26" customFormat="1" ht="16.5" customHeight="1">
      <c r="A35" s="82" t="s">
        <v>418</v>
      </c>
      <c r="B35" s="83" t="s">
        <v>419</v>
      </c>
      <c r="C35" s="84"/>
      <c r="D35" s="84"/>
      <c r="E35" s="84"/>
      <c r="F35" s="84"/>
      <c r="G35" s="84"/>
      <c r="H35" s="85"/>
      <c r="I35" s="33"/>
      <c r="J35" s="25" t="s">
        <v>420</v>
      </c>
      <c r="K35" s="25" t="b">
        <f t="shared" si="0"/>
        <v>0</v>
      </c>
      <c r="L35" s="25" t="s">
        <v>421</v>
      </c>
      <c r="M35" s="25" t="b">
        <f t="shared" si="2"/>
        <v>0</v>
      </c>
      <c r="N35" s="25"/>
      <c r="O35" s="25"/>
      <c r="P35" s="25"/>
      <c r="Q35" s="25"/>
      <c r="R35" s="25"/>
      <c r="S35" s="25"/>
    </row>
    <row r="36" spans="1:19" s="26" customFormat="1" ht="16.5" customHeight="1">
      <c r="A36" s="82" t="s">
        <v>422</v>
      </c>
      <c r="B36" s="86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고여있던 물들을 벨트를 꾹 눌러 밑으로 흘려보내고 부석들도 땅으로 밀어 치워둠</v>
      </c>
      <c r="C36" s="87"/>
      <c r="D36" s="87"/>
      <c r="E36" s="87"/>
      <c r="F36" s="87"/>
      <c r="G36" s="87"/>
      <c r="H36" s="87"/>
      <c r="I36" s="88"/>
      <c r="J36" s="25" t="s">
        <v>423</v>
      </c>
      <c r="K36" s="25" t="b">
        <f t="shared" si="0"/>
        <v>0</v>
      </c>
      <c r="L36" s="25" t="s">
        <v>424</v>
      </c>
      <c r="M36" s="25" t="b">
        <f t="shared" si="2"/>
        <v>0</v>
      </c>
      <c r="N36" s="25"/>
      <c r="O36" s="25"/>
      <c r="P36" s="25"/>
      <c r="Q36" s="25"/>
      <c r="R36" s="25"/>
      <c r="S36" s="25"/>
    </row>
    <row r="37" spans="1:19" s="26" customFormat="1" ht="27.75" customHeight="1">
      <c r="A37" s="82" t="s">
        <v>425</v>
      </c>
      <c r="B37" s="86"/>
      <c r="C37" s="87"/>
      <c r="D37" s="87"/>
      <c r="E37" s="87"/>
      <c r="F37" s="87"/>
      <c r="G37" s="87"/>
      <c r="H37" s="87"/>
      <c r="I37" s="88"/>
      <c r="J37" s="25"/>
      <c r="K37" s="25"/>
      <c r="L37" s="25"/>
      <c r="M37" s="25"/>
      <c r="N37" s="25"/>
      <c r="O37" s="25"/>
      <c r="P37" s="25"/>
      <c r="Q37" s="25"/>
      <c r="R37" s="25"/>
      <c r="S37" s="25"/>
    </row>
    <row r="38" spans="1:19" s="26" customFormat="1" ht="16.5" customHeight="1" thickBot="1">
      <c r="A38" s="89"/>
      <c r="B38" s="90"/>
      <c r="C38" s="91"/>
      <c r="D38" s="91"/>
      <c r="E38" s="91"/>
      <c r="F38" s="91"/>
      <c r="G38" s="91"/>
      <c r="H38" s="91"/>
      <c r="I38" s="92"/>
      <c r="J38" s="25"/>
      <c r="K38" s="25"/>
      <c r="L38" s="25"/>
      <c r="M38" s="25"/>
      <c r="N38" s="25"/>
      <c r="O38" s="25"/>
      <c r="P38" s="25"/>
      <c r="Q38" s="25"/>
      <c r="R38" s="25"/>
      <c r="S38" s="25"/>
    </row>
    <row r="39" spans="1:19" s="26" customFormat="1" ht="18.75" customHeight="1" thickBot="1">
      <c r="A39" s="93" t="s">
        <v>426</v>
      </c>
      <c r="B39" s="94"/>
      <c r="C39" s="94"/>
      <c r="D39" s="94"/>
      <c r="E39" s="94"/>
      <c r="F39" s="94"/>
      <c r="G39" s="94"/>
      <c r="H39" s="94"/>
      <c r="I39" s="95"/>
      <c r="J39" s="25"/>
      <c r="K39" s="25"/>
      <c r="L39" s="25"/>
      <c r="M39" s="25"/>
      <c r="N39" s="25"/>
      <c r="O39" s="25"/>
      <c r="P39" s="25"/>
      <c r="Q39" s="25"/>
      <c r="R39" s="25"/>
      <c r="S39" s="25"/>
    </row>
    <row r="40" spans="1:19" s="26" customFormat="1" ht="18" thickTop="1">
      <c r="A40" s="82" t="s">
        <v>427</v>
      </c>
      <c r="B40" s="83" t="s">
        <v>428</v>
      </c>
      <c r="C40" s="84"/>
      <c r="D40" s="84"/>
      <c r="E40" s="84"/>
      <c r="F40" s="84"/>
      <c r="G40" s="84"/>
      <c r="H40" s="85"/>
      <c r="I40" s="33"/>
      <c r="J40" s="25"/>
      <c r="K40" s="25"/>
      <c r="L40" s="25"/>
      <c r="M40" s="25"/>
      <c r="N40" s="25"/>
      <c r="O40" s="25"/>
      <c r="P40" s="25"/>
      <c r="Q40" s="25"/>
      <c r="R40" s="25"/>
      <c r="S40" s="25"/>
    </row>
    <row r="41" spans="1:19" s="26" customFormat="1">
      <c r="A41" s="96" t="s">
        <v>429</v>
      </c>
      <c r="B41" s="97"/>
      <c r="C41" s="98"/>
      <c r="D41" s="98"/>
      <c r="E41" s="98"/>
      <c r="F41" s="98"/>
      <c r="G41" s="98"/>
      <c r="H41" s="98"/>
      <c r="I41" s="99"/>
      <c r="J41" s="25"/>
      <c r="K41" s="25"/>
      <c r="L41" s="25"/>
      <c r="M41" s="25"/>
      <c r="N41" s="25"/>
      <c r="O41" s="25"/>
      <c r="P41" s="25"/>
      <c r="Q41" s="25"/>
      <c r="R41" s="25"/>
      <c r="S41" s="25"/>
    </row>
    <row r="42" spans="1:19" s="26" customFormat="1" ht="27.75" customHeight="1">
      <c r="A42" s="96" t="s">
        <v>430</v>
      </c>
      <c r="B42" s="97"/>
      <c r="C42" s="98"/>
      <c r="D42" s="98"/>
      <c r="E42" s="98"/>
      <c r="F42" s="98"/>
      <c r="G42" s="98"/>
      <c r="H42" s="98"/>
      <c r="I42" s="99"/>
      <c r="J42" s="25"/>
      <c r="K42" s="25"/>
      <c r="L42" s="25"/>
      <c r="M42" s="25"/>
      <c r="N42" s="25"/>
      <c r="O42" s="25"/>
      <c r="P42" s="25"/>
      <c r="Q42" s="25"/>
      <c r="R42" s="25"/>
      <c r="S42" s="25"/>
    </row>
    <row r="43" spans="1:19" s="26" customFormat="1" ht="18" thickBot="1">
      <c r="A43" s="100"/>
      <c r="B43" s="101"/>
      <c r="C43" s="102"/>
      <c r="D43" s="102"/>
      <c r="E43" s="102"/>
      <c r="F43" s="102"/>
      <c r="G43" s="102"/>
      <c r="H43" s="102"/>
      <c r="I43" s="103"/>
      <c r="J43" s="25"/>
      <c r="K43" s="25"/>
      <c r="L43" s="25"/>
      <c r="M43" s="25"/>
      <c r="N43" s="25"/>
      <c r="O43" s="25"/>
      <c r="P43" s="25"/>
      <c r="Q43" s="25"/>
      <c r="R43" s="25"/>
      <c r="S43" s="25"/>
    </row>
    <row r="44" spans="1:19" s="26" customFormat="1" ht="17.25" customHeight="1" thickBot="1">
      <c r="A44" s="104" t="s">
        <v>431</v>
      </c>
      <c r="B44" s="105" t="s">
        <v>432</v>
      </c>
      <c r="C44" s="106" t="s">
        <v>433</v>
      </c>
      <c r="D44" s="107"/>
      <c r="E44" s="108"/>
      <c r="F44" s="109" t="s">
        <v>434</v>
      </c>
      <c r="G44" s="110"/>
      <c r="H44" s="110"/>
      <c r="I44" s="111"/>
      <c r="J44" s="25"/>
      <c r="K44" s="25"/>
      <c r="L44" s="25"/>
      <c r="M44" s="25"/>
      <c r="N44" s="25"/>
      <c r="O44" s="25"/>
      <c r="P44" s="25"/>
      <c r="Q44" s="25"/>
      <c r="R44" s="25"/>
      <c r="S44" s="25"/>
    </row>
    <row r="45" spans="1:19" s="26" customFormat="1" ht="18.75" customHeight="1" thickBot="1">
      <c r="A45" s="93" t="s">
        <v>435</v>
      </c>
      <c r="B45" s="94"/>
      <c r="C45" s="94"/>
      <c r="D45" s="94"/>
      <c r="E45" s="94"/>
      <c r="F45" s="94"/>
      <c r="G45" s="94"/>
      <c r="H45" s="94"/>
      <c r="I45" s="95"/>
      <c r="J45" s="25"/>
      <c r="K45" s="25"/>
      <c r="L45" s="25"/>
      <c r="M45" s="25"/>
      <c r="N45" s="25"/>
      <c r="O45" s="25"/>
      <c r="P45" s="25"/>
      <c r="Q45" s="25"/>
      <c r="R45" s="25"/>
      <c r="S45" s="25"/>
    </row>
    <row r="46" spans="1:19" s="26" customFormat="1" ht="17.25" customHeight="1" thickTop="1" thickBot="1">
      <c r="A46" s="112" t="s">
        <v>436</v>
      </c>
      <c r="B46" s="113" t="s">
        <v>437</v>
      </c>
      <c r="C46" s="114" t="s">
        <v>433</v>
      </c>
      <c r="D46" s="115"/>
      <c r="E46" s="116"/>
      <c r="F46" s="117"/>
      <c r="G46" s="118"/>
      <c r="H46" s="118"/>
      <c r="I46" s="119"/>
      <c r="J46" s="25"/>
      <c r="K46" s="25"/>
      <c r="L46" s="25"/>
      <c r="M46" s="25"/>
      <c r="N46" s="25"/>
      <c r="O46" s="25"/>
      <c r="P46" s="25"/>
      <c r="Q46" s="25"/>
      <c r="R46" s="25"/>
      <c r="S46" s="25"/>
    </row>
    <row r="47" spans="1:19" s="26" customFormat="1" ht="18.75" thickTop="1" thickBot="1">
      <c r="A47" s="120" t="s">
        <v>438</v>
      </c>
      <c r="B47" s="121"/>
      <c r="C47" s="121"/>
      <c r="D47" s="121"/>
      <c r="E47" s="121"/>
      <c r="F47" s="121"/>
      <c r="G47" s="121"/>
      <c r="H47" s="121"/>
      <c r="I47" s="122"/>
      <c r="J47" s="25"/>
      <c r="K47" s="25"/>
      <c r="L47" s="25"/>
      <c r="M47" s="25"/>
      <c r="N47" s="25"/>
      <c r="O47" s="25"/>
      <c r="P47" s="25"/>
      <c r="Q47" s="25"/>
      <c r="R47" s="25"/>
      <c r="S47" s="25"/>
    </row>
    <row r="48" spans="1:19">
      <c r="A48" s="123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1:H2"/>
    <mergeCell ref="H5:I5"/>
    <mergeCell ref="B6:C6"/>
    <mergeCell ref="E6:F6"/>
    <mergeCell ref="H6:I6"/>
    <mergeCell ref="B7:I7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4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104775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47625</xdr:rowOff>
                  </from>
                  <to>
                    <xdr:col>4</xdr:col>
                    <xdr:colOff>400050</xdr:colOff>
                    <xdr:row>32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171450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180975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47625</xdr:rowOff>
                  </from>
                  <to>
                    <xdr:col>9</xdr:col>
                    <xdr:colOff>28575</xdr:colOff>
                    <xdr:row>30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2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3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4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5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6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7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8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523875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9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0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219075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1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180975</xdr:rowOff>
                  </from>
                  <to>
                    <xdr:col>1</xdr:col>
                    <xdr:colOff>685800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2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3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4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5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6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7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142875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8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152400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59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581025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60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180975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61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62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63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64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65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66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142875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67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152400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68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4FC14-D1E8-4552-A49E-711B79F426D3}">
          <x14:formula1>
            <xm:f>near_miss_excel_view!$C:$C</xm:f>
          </x14:formula1>
          <xm:sqref>B7:I7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AFD43-4758-4296-927F-35EB340F13CE}">
  <sheetPr>
    <tabColor rgb="FFFFFF00"/>
    <pageSetUpPr fitToPage="1"/>
  </sheetPr>
  <dimension ref="A1:S48"/>
  <sheetViews>
    <sheetView showGridLines="0" view="pageBreakPreview" zoomScale="115" zoomScaleNormal="100" zoomScaleSheetLayoutView="115" workbookViewId="0">
      <selection activeCell="O23" sqref="O23"/>
    </sheetView>
  </sheetViews>
  <sheetFormatPr defaultColWidth="9" defaultRowHeight="17.25"/>
  <cols>
    <col min="1" max="1" width="21.375" style="9" customWidth="1"/>
    <col min="2" max="2" width="11.125" style="9" customWidth="1"/>
    <col min="3" max="3" width="8.625" style="9" customWidth="1"/>
    <col min="4" max="4" width="9" style="9"/>
    <col min="5" max="6" width="8" style="9" customWidth="1"/>
    <col min="7" max="7" width="8.875" style="9" bestFit="1" customWidth="1"/>
    <col min="8" max="8" width="11.25" style="9" customWidth="1"/>
    <col min="9" max="9" width="10.75" style="9" customWidth="1"/>
    <col min="10" max="10" width="10.625" style="10" customWidth="1"/>
    <col min="11" max="11" width="5.25" style="10" customWidth="1"/>
    <col min="12" max="12" width="10.625" style="10" customWidth="1"/>
    <col min="13" max="13" width="5.25" style="10" customWidth="1"/>
    <col min="14" max="14" width="10.625" style="10" customWidth="1"/>
    <col min="15" max="15" width="5.25" style="10" customWidth="1"/>
    <col min="16" max="16" width="15.375" style="10" customWidth="1"/>
    <col min="17" max="17" width="5.25" style="10" customWidth="1"/>
    <col min="18" max="18" width="9" style="10"/>
    <col min="19" max="19" width="5.75" style="10" customWidth="1"/>
    <col min="20" max="256" width="9" style="9"/>
    <col min="257" max="257" width="21.375" style="9" customWidth="1"/>
    <col min="258" max="258" width="11.125" style="9" customWidth="1"/>
    <col min="259" max="259" width="10.75" style="9" customWidth="1"/>
    <col min="260" max="260" width="9" style="9"/>
    <col min="261" max="262" width="8" style="9" customWidth="1"/>
    <col min="263" max="263" width="8.875" style="9" bestFit="1" customWidth="1"/>
    <col min="264" max="265" width="11.25" style="9" customWidth="1"/>
    <col min="266" max="512" width="9" style="9"/>
    <col min="513" max="513" width="21.375" style="9" customWidth="1"/>
    <col min="514" max="514" width="11.125" style="9" customWidth="1"/>
    <col min="515" max="515" width="10.75" style="9" customWidth="1"/>
    <col min="516" max="516" width="9" style="9"/>
    <col min="517" max="518" width="8" style="9" customWidth="1"/>
    <col min="519" max="519" width="8.875" style="9" bestFit="1" customWidth="1"/>
    <col min="520" max="521" width="11.25" style="9" customWidth="1"/>
    <col min="522" max="768" width="9" style="9"/>
    <col min="769" max="769" width="21.375" style="9" customWidth="1"/>
    <col min="770" max="770" width="11.125" style="9" customWidth="1"/>
    <col min="771" max="771" width="10.75" style="9" customWidth="1"/>
    <col min="772" max="772" width="9" style="9"/>
    <col min="773" max="774" width="8" style="9" customWidth="1"/>
    <col min="775" max="775" width="8.875" style="9" bestFit="1" customWidth="1"/>
    <col min="776" max="777" width="11.25" style="9" customWidth="1"/>
    <col min="778" max="1024" width="9" style="9"/>
    <col min="1025" max="1025" width="21.375" style="9" customWidth="1"/>
    <col min="1026" max="1026" width="11.125" style="9" customWidth="1"/>
    <col min="1027" max="1027" width="10.75" style="9" customWidth="1"/>
    <col min="1028" max="1028" width="9" style="9"/>
    <col min="1029" max="1030" width="8" style="9" customWidth="1"/>
    <col min="1031" max="1031" width="8.875" style="9" bestFit="1" customWidth="1"/>
    <col min="1032" max="1033" width="11.25" style="9" customWidth="1"/>
    <col min="1034" max="1280" width="9" style="9"/>
    <col min="1281" max="1281" width="21.375" style="9" customWidth="1"/>
    <col min="1282" max="1282" width="11.125" style="9" customWidth="1"/>
    <col min="1283" max="1283" width="10.75" style="9" customWidth="1"/>
    <col min="1284" max="1284" width="9" style="9"/>
    <col min="1285" max="1286" width="8" style="9" customWidth="1"/>
    <col min="1287" max="1287" width="8.875" style="9" bestFit="1" customWidth="1"/>
    <col min="1288" max="1289" width="11.25" style="9" customWidth="1"/>
    <col min="1290" max="1536" width="9" style="9"/>
    <col min="1537" max="1537" width="21.375" style="9" customWidth="1"/>
    <col min="1538" max="1538" width="11.125" style="9" customWidth="1"/>
    <col min="1539" max="1539" width="10.75" style="9" customWidth="1"/>
    <col min="1540" max="1540" width="9" style="9"/>
    <col min="1541" max="1542" width="8" style="9" customWidth="1"/>
    <col min="1543" max="1543" width="8.875" style="9" bestFit="1" customWidth="1"/>
    <col min="1544" max="1545" width="11.25" style="9" customWidth="1"/>
    <col min="1546" max="1792" width="9" style="9"/>
    <col min="1793" max="1793" width="21.375" style="9" customWidth="1"/>
    <col min="1794" max="1794" width="11.125" style="9" customWidth="1"/>
    <col min="1795" max="1795" width="10.75" style="9" customWidth="1"/>
    <col min="1796" max="1796" width="9" style="9"/>
    <col min="1797" max="1798" width="8" style="9" customWidth="1"/>
    <col min="1799" max="1799" width="8.875" style="9" bestFit="1" customWidth="1"/>
    <col min="1800" max="1801" width="11.25" style="9" customWidth="1"/>
    <col min="1802" max="2048" width="9" style="9"/>
    <col min="2049" max="2049" width="21.375" style="9" customWidth="1"/>
    <col min="2050" max="2050" width="11.125" style="9" customWidth="1"/>
    <col min="2051" max="2051" width="10.75" style="9" customWidth="1"/>
    <col min="2052" max="2052" width="9" style="9"/>
    <col min="2053" max="2054" width="8" style="9" customWidth="1"/>
    <col min="2055" max="2055" width="8.875" style="9" bestFit="1" customWidth="1"/>
    <col min="2056" max="2057" width="11.25" style="9" customWidth="1"/>
    <col min="2058" max="2304" width="9" style="9"/>
    <col min="2305" max="2305" width="21.375" style="9" customWidth="1"/>
    <col min="2306" max="2306" width="11.125" style="9" customWidth="1"/>
    <col min="2307" max="2307" width="10.75" style="9" customWidth="1"/>
    <col min="2308" max="2308" width="9" style="9"/>
    <col min="2309" max="2310" width="8" style="9" customWidth="1"/>
    <col min="2311" max="2311" width="8.875" style="9" bestFit="1" customWidth="1"/>
    <col min="2312" max="2313" width="11.25" style="9" customWidth="1"/>
    <col min="2314" max="2560" width="9" style="9"/>
    <col min="2561" max="2561" width="21.375" style="9" customWidth="1"/>
    <col min="2562" max="2562" width="11.125" style="9" customWidth="1"/>
    <col min="2563" max="2563" width="10.75" style="9" customWidth="1"/>
    <col min="2564" max="2564" width="9" style="9"/>
    <col min="2565" max="2566" width="8" style="9" customWidth="1"/>
    <col min="2567" max="2567" width="8.875" style="9" bestFit="1" customWidth="1"/>
    <col min="2568" max="2569" width="11.25" style="9" customWidth="1"/>
    <col min="2570" max="2816" width="9" style="9"/>
    <col min="2817" max="2817" width="21.375" style="9" customWidth="1"/>
    <col min="2818" max="2818" width="11.125" style="9" customWidth="1"/>
    <col min="2819" max="2819" width="10.75" style="9" customWidth="1"/>
    <col min="2820" max="2820" width="9" style="9"/>
    <col min="2821" max="2822" width="8" style="9" customWidth="1"/>
    <col min="2823" max="2823" width="8.875" style="9" bestFit="1" customWidth="1"/>
    <col min="2824" max="2825" width="11.25" style="9" customWidth="1"/>
    <col min="2826" max="3072" width="9" style="9"/>
    <col min="3073" max="3073" width="21.375" style="9" customWidth="1"/>
    <col min="3074" max="3074" width="11.125" style="9" customWidth="1"/>
    <col min="3075" max="3075" width="10.75" style="9" customWidth="1"/>
    <col min="3076" max="3076" width="9" style="9"/>
    <col min="3077" max="3078" width="8" style="9" customWidth="1"/>
    <col min="3079" max="3079" width="8.875" style="9" bestFit="1" customWidth="1"/>
    <col min="3080" max="3081" width="11.25" style="9" customWidth="1"/>
    <col min="3082" max="3328" width="9" style="9"/>
    <col min="3329" max="3329" width="21.375" style="9" customWidth="1"/>
    <col min="3330" max="3330" width="11.125" style="9" customWidth="1"/>
    <col min="3331" max="3331" width="10.75" style="9" customWidth="1"/>
    <col min="3332" max="3332" width="9" style="9"/>
    <col min="3333" max="3334" width="8" style="9" customWidth="1"/>
    <col min="3335" max="3335" width="8.875" style="9" bestFit="1" customWidth="1"/>
    <col min="3336" max="3337" width="11.25" style="9" customWidth="1"/>
    <col min="3338" max="3584" width="9" style="9"/>
    <col min="3585" max="3585" width="21.375" style="9" customWidth="1"/>
    <col min="3586" max="3586" width="11.125" style="9" customWidth="1"/>
    <col min="3587" max="3587" width="10.75" style="9" customWidth="1"/>
    <col min="3588" max="3588" width="9" style="9"/>
    <col min="3589" max="3590" width="8" style="9" customWidth="1"/>
    <col min="3591" max="3591" width="8.875" style="9" bestFit="1" customWidth="1"/>
    <col min="3592" max="3593" width="11.25" style="9" customWidth="1"/>
    <col min="3594" max="3840" width="9" style="9"/>
    <col min="3841" max="3841" width="21.375" style="9" customWidth="1"/>
    <col min="3842" max="3842" width="11.125" style="9" customWidth="1"/>
    <col min="3843" max="3843" width="10.75" style="9" customWidth="1"/>
    <col min="3844" max="3844" width="9" style="9"/>
    <col min="3845" max="3846" width="8" style="9" customWidth="1"/>
    <col min="3847" max="3847" width="8.875" style="9" bestFit="1" customWidth="1"/>
    <col min="3848" max="3849" width="11.25" style="9" customWidth="1"/>
    <col min="3850" max="4096" width="9" style="9"/>
    <col min="4097" max="4097" width="21.375" style="9" customWidth="1"/>
    <col min="4098" max="4098" width="11.125" style="9" customWidth="1"/>
    <col min="4099" max="4099" width="10.75" style="9" customWidth="1"/>
    <col min="4100" max="4100" width="9" style="9"/>
    <col min="4101" max="4102" width="8" style="9" customWidth="1"/>
    <col min="4103" max="4103" width="8.875" style="9" bestFit="1" customWidth="1"/>
    <col min="4104" max="4105" width="11.25" style="9" customWidth="1"/>
    <col min="4106" max="4352" width="9" style="9"/>
    <col min="4353" max="4353" width="21.375" style="9" customWidth="1"/>
    <col min="4354" max="4354" width="11.125" style="9" customWidth="1"/>
    <col min="4355" max="4355" width="10.75" style="9" customWidth="1"/>
    <col min="4356" max="4356" width="9" style="9"/>
    <col min="4357" max="4358" width="8" style="9" customWidth="1"/>
    <col min="4359" max="4359" width="8.875" style="9" bestFit="1" customWidth="1"/>
    <col min="4360" max="4361" width="11.25" style="9" customWidth="1"/>
    <col min="4362" max="4608" width="9" style="9"/>
    <col min="4609" max="4609" width="21.375" style="9" customWidth="1"/>
    <col min="4610" max="4610" width="11.125" style="9" customWidth="1"/>
    <col min="4611" max="4611" width="10.75" style="9" customWidth="1"/>
    <col min="4612" max="4612" width="9" style="9"/>
    <col min="4613" max="4614" width="8" style="9" customWidth="1"/>
    <col min="4615" max="4615" width="8.875" style="9" bestFit="1" customWidth="1"/>
    <col min="4616" max="4617" width="11.25" style="9" customWidth="1"/>
    <col min="4618" max="4864" width="9" style="9"/>
    <col min="4865" max="4865" width="21.375" style="9" customWidth="1"/>
    <col min="4866" max="4866" width="11.125" style="9" customWidth="1"/>
    <col min="4867" max="4867" width="10.75" style="9" customWidth="1"/>
    <col min="4868" max="4868" width="9" style="9"/>
    <col min="4869" max="4870" width="8" style="9" customWidth="1"/>
    <col min="4871" max="4871" width="8.875" style="9" bestFit="1" customWidth="1"/>
    <col min="4872" max="4873" width="11.25" style="9" customWidth="1"/>
    <col min="4874" max="5120" width="9" style="9"/>
    <col min="5121" max="5121" width="21.375" style="9" customWidth="1"/>
    <col min="5122" max="5122" width="11.125" style="9" customWidth="1"/>
    <col min="5123" max="5123" width="10.75" style="9" customWidth="1"/>
    <col min="5124" max="5124" width="9" style="9"/>
    <col min="5125" max="5126" width="8" style="9" customWidth="1"/>
    <col min="5127" max="5127" width="8.875" style="9" bestFit="1" customWidth="1"/>
    <col min="5128" max="5129" width="11.25" style="9" customWidth="1"/>
    <col min="5130" max="5376" width="9" style="9"/>
    <col min="5377" max="5377" width="21.375" style="9" customWidth="1"/>
    <col min="5378" max="5378" width="11.125" style="9" customWidth="1"/>
    <col min="5379" max="5379" width="10.75" style="9" customWidth="1"/>
    <col min="5380" max="5380" width="9" style="9"/>
    <col min="5381" max="5382" width="8" style="9" customWidth="1"/>
    <col min="5383" max="5383" width="8.875" style="9" bestFit="1" customWidth="1"/>
    <col min="5384" max="5385" width="11.25" style="9" customWidth="1"/>
    <col min="5386" max="5632" width="9" style="9"/>
    <col min="5633" max="5633" width="21.375" style="9" customWidth="1"/>
    <col min="5634" max="5634" width="11.125" style="9" customWidth="1"/>
    <col min="5635" max="5635" width="10.75" style="9" customWidth="1"/>
    <col min="5636" max="5636" width="9" style="9"/>
    <col min="5637" max="5638" width="8" style="9" customWidth="1"/>
    <col min="5639" max="5639" width="8.875" style="9" bestFit="1" customWidth="1"/>
    <col min="5640" max="5641" width="11.25" style="9" customWidth="1"/>
    <col min="5642" max="5888" width="9" style="9"/>
    <col min="5889" max="5889" width="21.375" style="9" customWidth="1"/>
    <col min="5890" max="5890" width="11.125" style="9" customWidth="1"/>
    <col min="5891" max="5891" width="10.75" style="9" customWidth="1"/>
    <col min="5892" max="5892" width="9" style="9"/>
    <col min="5893" max="5894" width="8" style="9" customWidth="1"/>
    <col min="5895" max="5895" width="8.875" style="9" bestFit="1" customWidth="1"/>
    <col min="5896" max="5897" width="11.25" style="9" customWidth="1"/>
    <col min="5898" max="6144" width="9" style="9"/>
    <col min="6145" max="6145" width="21.375" style="9" customWidth="1"/>
    <col min="6146" max="6146" width="11.125" style="9" customWidth="1"/>
    <col min="6147" max="6147" width="10.75" style="9" customWidth="1"/>
    <col min="6148" max="6148" width="9" style="9"/>
    <col min="6149" max="6150" width="8" style="9" customWidth="1"/>
    <col min="6151" max="6151" width="8.875" style="9" bestFit="1" customWidth="1"/>
    <col min="6152" max="6153" width="11.25" style="9" customWidth="1"/>
    <col min="6154" max="6400" width="9" style="9"/>
    <col min="6401" max="6401" width="21.375" style="9" customWidth="1"/>
    <col min="6402" max="6402" width="11.125" style="9" customWidth="1"/>
    <col min="6403" max="6403" width="10.75" style="9" customWidth="1"/>
    <col min="6404" max="6404" width="9" style="9"/>
    <col min="6405" max="6406" width="8" style="9" customWidth="1"/>
    <col min="6407" max="6407" width="8.875" style="9" bestFit="1" customWidth="1"/>
    <col min="6408" max="6409" width="11.25" style="9" customWidth="1"/>
    <col min="6410" max="6656" width="9" style="9"/>
    <col min="6657" max="6657" width="21.375" style="9" customWidth="1"/>
    <col min="6658" max="6658" width="11.125" style="9" customWidth="1"/>
    <col min="6659" max="6659" width="10.75" style="9" customWidth="1"/>
    <col min="6660" max="6660" width="9" style="9"/>
    <col min="6661" max="6662" width="8" style="9" customWidth="1"/>
    <col min="6663" max="6663" width="8.875" style="9" bestFit="1" customWidth="1"/>
    <col min="6664" max="6665" width="11.25" style="9" customWidth="1"/>
    <col min="6666" max="6912" width="9" style="9"/>
    <col min="6913" max="6913" width="21.375" style="9" customWidth="1"/>
    <col min="6914" max="6914" width="11.125" style="9" customWidth="1"/>
    <col min="6915" max="6915" width="10.75" style="9" customWidth="1"/>
    <col min="6916" max="6916" width="9" style="9"/>
    <col min="6917" max="6918" width="8" style="9" customWidth="1"/>
    <col min="6919" max="6919" width="8.875" style="9" bestFit="1" customWidth="1"/>
    <col min="6920" max="6921" width="11.25" style="9" customWidth="1"/>
    <col min="6922" max="7168" width="9" style="9"/>
    <col min="7169" max="7169" width="21.375" style="9" customWidth="1"/>
    <col min="7170" max="7170" width="11.125" style="9" customWidth="1"/>
    <col min="7171" max="7171" width="10.75" style="9" customWidth="1"/>
    <col min="7172" max="7172" width="9" style="9"/>
    <col min="7173" max="7174" width="8" style="9" customWidth="1"/>
    <col min="7175" max="7175" width="8.875" style="9" bestFit="1" customWidth="1"/>
    <col min="7176" max="7177" width="11.25" style="9" customWidth="1"/>
    <col min="7178" max="7424" width="9" style="9"/>
    <col min="7425" max="7425" width="21.375" style="9" customWidth="1"/>
    <col min="7426" max="7426" width="11.125" style="9" customWidth="1"/>
    <col min="7427" max="7427" width="10.75" style="9" customWidth="1"/>
    <col min="7428" max="7428" width="9" style="9"/>
    <col min="7429" max="7430" width="8" style="9" customWidth="1"/>
    <col min="7431" max="7431" width="8.875" style="9" bestFit="1" customWidth="1"/>
    <col min="7432" max="7433" width="11.25" style="9" customWidth="1"/>
    <col min="7434" max="7680" width="9" style="9"/>
    <col min="7681" max="7681" width="21.375" style="9" customWidth="1"/>
    <col min="7682" max="7682" width="11.125" style="9" customWidth="1"/>
    <col min="7683" max="7683" width="10.75" style="9" customWidth="1"/>
    <col min="7684" max="7684" width="9" style="9"/>
    <col min="7685" max="7686" width="8" style="9" customWidth="1"/>
    <col min="7687" max="7687" width="8.875" style="9" bestFit="1" customWidth="1"/>
    <col min="7688" max="7689" width="11.25" style="9" customWidth="1"/>
    <col min="7690" max="7936" width="9" style="9"/>
    <col min="7937" max="7937" width="21.375" style="9" customWidth="1"/>
    <col min="7938" max="7938" width="11.125" style="9" customWidth="1"/>
    <col min="7939" max="7939" width="10.75" style="9" customWidth="1"/>
    <col min="7940" max="7940" width="9" style="9"/>
    <col min="7941" max="7942" width="8" style="9" customWidth="1"/>
    <col min="7943" max="7943" width="8.875" style="9" bestFit="1" customWidth="1"/>
    <col min="7944" max="7945" width="11.25" style="9" customWidth="1"/>
    <col min="7946" max="8192" width="9" style="9"/>
    <col min="8193" max="8193" width="21.375" style="9" customWidth="1"/>
    <col min="8194" max="8194" width="11.125" style="9" customWidth="1"/>
    <col min="8195" max="8195" width="10.75" style="9" customWidth="1"/>
    <col min="8196" max="8196" width="9" style="9"/>
    <col min="8197" max="8198" width="8" style="9" customWidth="1"/>
    <col min="8199" max="8199" width="8.875" style="9" bestFit="1" customWidth="1"/>
    <col min="8200" max="8201" width="11.25" style="9" customWidth="1"/>
    <col min="8202" max="8448" width="9" style="9"/>
    <col min="8449" max="8449" width="21.375" style="9" customWidth="1"/>
    <col min="8450" max="8450" width="11.125" style="9" customWidth="1"/>
    <col min="8451" max="8451" width="10.75" style="9" customWidth="1"/>
    <col min="8452" max="8452" width="9" style="9"/>
    <col min="8453" max="8454" width="8" style="9" customWidth="1"/>
    <col min="8455" max="8455" width="8.875" style="9" bestFit="1" customWidth="1"/>
    <col min="8456" max="8457" width="11.25" style="9" customWidth="1"/>
    <col min="8458" max="8704" width="9" style="9"/>
    <col min="8705" max="8705" width="21.375" style="9" customWidth="1"/>
    <col min="8706" max="8706" width="11.125" style="9" customWidth="1"/>
    <col min="8707" max="8707" width="10.75" style="9" customWidth="1"/>
    <col min="8708" max="8708" width="9" style="9"/>
    <col min="8709" max="8710" width="8" style="9" customWidth="1"/>
    <col min="8711" max="8711" width="8.875" style="9" bestFit="1" customWidth="1"/>
    <col min="8712" max="8713" width="11.25" style="9" customWidth="1"/>
    <col min="8714" max="8960" width="9" style="9"/>
    <col min="8961" max="8961" width="21.375" style="9" customWidth="1"/>
    <col min="8962" max="8962" width="11.125" style="9" customWidth="1"/>
    <col min="8963" max="8963" width="10.75" style="9" customWidth="1"/>
    <col min="8964" max="8964" width="9" style="9"/>
    <col min="8965" max="8966" width="8" style="9" customWidth="1"/>
    <col min="8967" max="8967" width="8.875" style="9" bestFit="1" customWidth="1"/>
    <col min="8968" max="8969" width="11.25" style="9" customWidth="1"/>
    <col min="8970" max="9216" width="9" style="9"/>
    <col min="9217" max="9217" width="21.375" style="9" customWidth="1"/>
    <col min="9218" max="9218" width="11.125" style="9" customWidth="1"/>
    <col min="9219" max="9219" width="10.75" style="9" customWidth="1"/>
    <col min="9220" max="9220" width="9" style="9"/>
    <col min="9221" max="9222" width="8" style="9" customWidth="1"/>
    <col min="9223" max="9223" width="8.875" style="9" bestFit="1" customWidth="1"/>
    <col min="9224" max="9225" width="11.25" style="9" customWidth="1"/>
    <col min="9226" max="9472" width="9" style="9"/>
    <col min="9473" max="9473" width="21.375" style="9" customWidth="1"/>
    <col min="9474" max="9474" width="11.125" style="9" customWidth="1"/>
    <col min="9475" max="9475" width="10.75" style="9" customWidth="1"/>
    <col min="9476" max="9476" width="9" style="9"/>
    <col min="9477" max="9478" width="8" style="9" customWidth="1"/>
    <col min="9479" max="9479" width="8.875" style="9" bestFit="1" customWidth="1"/>
    <col min="9480" max="9481" width="11.25" style="9" customWidth="1"/>
    <col min="9482" max="9728" width="9" style="9"/>
    <col min="9729" max="9729" width="21.375" style="9" customWidth="1"/>
    <col min="9730" max="9730" width="11.125" style="9" customWidth="1"/>
    <col min="9731" max="9731" width="10.75" style="9" customWidth="1"/>
    <col min="9732" max="9732" width="9" style="9"/>
    <col min="9733" max="9734" width="8" style="9" customWidth="1"/>
    <col min="9735" max="9735" width="8.875" style="9" bestFit="1" customWidth="1"/>
    <col min="9736" max="9737" width="11.25" style="9" customWidth="1"/>
    <col min="9738" max="9984" width="9" style="9"/>
    <col min="9985" max="9985" width="21.375" style="9" customWidth="1"/>
    <col min="9986" max="9986" width="11.125" style="9" customWidth="1"/>
    <col min="9987" max="9987" width="10.75" style="9" customWidth="1"/>
    <col min="9988" max="9988" width="9" style="9"/>
    <col min="9989" max="9990" width="8" style="9" customWidth="1"/>
    <col min="9991" max="9991" width="8.875" style="9" bestFit="1" customWidth="1"/>
    <col min="9992" max="9993" width="11.25" style="9" customWidth="1"/>
    <col min="9994" max="10240" width="9" style="9"/>
    <col min="10241" max="10241" width="21.375" style="9" customWidth="1"/>
    <col min="10242" max="10242" width="11.125" style="9" customWidth="1"/>
    <col min="10243" max="10243" width="10.75" style="9" customWidth="1"/>
    <col min="10244" max="10244" width="9" style="9"/>
    <col min="10245" max="10246" width="8" style="9" customWidth="1"/>
    <col min="10247" max="10247" width="8.875" style="9" bestFit="1" customWidth="1"/>
    <col min="10248" max="10249" width="11.25" style="9" customWidth="1"/>
    <col min="10250" max="10496" width="9" style="9"/>
    <col min="10497" max="10497" width="21.375" style="9" customWidth="1"/>
    <col min="10498" max="10498" width="11.125" style="9" customWidth="1"/>
    <col min="10499" max="10499" width="10.75" style="9" customWidth="1"/>
    <col min="10500" max="10500" width="9" style="9"/>
    <col min="10501" max="10502" width="8" style="9" customWidth="1"/>
    <col min="10503" max="10503" width="8.875" style="9" bestFit="1" customWidth="1"/>
    <col min="10504" max="10505" width="11.25" style="9" customWidth="1"/>
    <col min="10506" max="10752" width="9" style="9"/>
    <col min="10753" max="10753" width="21.375" style="9" customWidth="1"/>
    <col min="10754" max="10754" width="11.125" style="9" customWidth="1"/>
    <col min="10755" max="10755" width="10.75" style="9" customWidth="1"/>
    <col min="10756" max="10756" width="9" style="9"/>
    <col min="10757" max="10758" width="8" style="9" customWidth="1"/>
    <col min="10759" max="10759" width="8.875" style="9" bestFit="1" customWidth="1"/>
    <col min="10760" max="10761" width="11.25" style="9" customWidth="1"/>
    <col min="10762" max="11008" width="9" style="9"/>
    <col min="11009" max="11009" width="21.375" style="9" customWidth="1"/>
    <col min="11010" max="11010" width="11.125" style="9" customWidth="1"/>
    <col min="11011" max="11011" width="10.75" style="9" customWidth="1"/>
    <col min="11012" max="11012" width="9" style="9"/>
    <col min="11013" max="11014" width="8" style="9" customWidth="1"/>
    <col min="11015" max="11015" width="8.875" style="9" bestFit="1" customWidth="1"/>
    <col min="11016" max="11017" width="11.25" style="9" customWidth="1"/>
    <col min="11018" max="11264" width="9" style="9"/>
    <col min="11265" max="11265" width="21.375" style="9" customWidth="1"/>
    <col min="11266" max="11266" width="11.125" style="9" customWidth="1"/>
    <col min="11267" max="11267" width="10.75" style="9" customWidth="1"/>
    <col min="11268" max="11268" width="9" style="9"/>
    <col min="11269" max="11270" width="8" style="9" customWidth="1"/>
    <col min="11271" max="11271" width="8.875" style="9" bestFit="1" customWidth="1"/>
    <col min="11272" max="11273" width="11.25" style="9" customWidth="1"/>
    <col min="11274" max="11520" width="9" style="9"/>
    <col min="11521" max="11521" width="21.375" style="9" customWidth="1"/>
    <col min="11522" max="11522" width="11.125" style="9" customWidth="1"/>
    <col min="11523" max="11523" width="10.75" style="9" customWidth="1"/>
    <col min="11524" max="11524" width="9" style="9"/>
    <col min="11525" max="11526" width="8" style="9" customWidth="1"/>
    <col min="11527" max="11527" width="8.875" style="9" bestFit="1" customWidth="1"/>
    <col min="11528" max="11529" width="11.25" style="9" customWidth="1"/>
    <col min="11530" max="11776" width="9" style="9"/>
    <col min="11777" max="11777" width="21.375" style="9" customWidth="1"/>
    <col min="11778" max="11778" width="11.125" style="9" customWidth="1"/>
    <col min="11779" max="11779" width="10.75" style="9" customWidth="1"/>
    <col min="11780" max="11780" width="9" style="9"/>
    <col min="11781" max="11782" width="8" style="9" customWidth="1"/>
    <col min="11783" max="11783" width="8.875" style="9" bestFit="1" customWidth="1"/>
    <col min="11784" max="11785" width="11.25" style="9" customWidth="1"/>
    <col min="11786" max="12032" width="9" style="9"/>
    <col min="12033" max="12033" width="21.375" style="9" customWidth="1"/>
    <col min="12034" max="12034" width="11.125" style="9" customWidth="1"/>
    <col min="12035" max="12035" width="10.75" style="9" customWidth="1"/>
    <col min="12036" max="12036" width="9" style="9"/>
    <col min="12037" max="12038" width="8" style="9" customWidth="1"/>
    <col min="12039" max="12039" width="8.875" style="9" bestFit="1" customWidth="1"/>
    <col min="12040" max="12041" width="11.25" style="9" customWidth="1"/>
    <col min="12042" max="12288" width="9" style="9"/>
    <col min="12289" max="12289" width="21.375" style="9" customWidth="1"/>
    <col min="12290" max="12290" width="11.125" style="9" customWidth="1"/>
    <col min="12291" max="12291" width="10.75" style="9" customWidth="1"/>
    <col min="12292" max="12292" width="9" style="9"/>
    <col min="12293" max="12294" width="8" style="9" customWidth="1"/>
    <col min="12295" max="12295" width="8.875" style="9" bestFit="1" customWidth="1"/>
    <col min="12296" max="12297" width="11.25" style="9" customWidth="1"/>
    <col min="12298" max="12544" width="9" style="9"/>
    <col min="12545" max="12545" width="21.375" style="9" customWidth="1"/>
    <col min="12546" max="12546" width="11.125" style="9" customWidth="1"/>
    <col min="12547" max="12547" width="10.75" style="9" customWidth="1"/>
    <col min="12548" max="12548" width="9" style="9"/>
    <col min="12549" max="12550" width="8" style="9" customWidth="1"/>
    <col min="12551" max="12551" width="8.875" style="9" bestFit="1" customWidth="1"/>
    <col min="12552" max="12553" width="11.25" style="9" customWidth="1"/>
    <col min="12554" max="12800" width="9" style="9"/>
    <col min="12801" max="12801" width="21.375" style="9" customWidth="1"/>
    <col min="12802" max="12802" width="11.125" style="9" customWidth="1"/>
    <col min="12803" max="12803" width="10.75" style="9" customWidth="1"/>
    <col min="12804" max="12804" width="9" style="9"/>
    <col min="12805" max="12806" width="8" style="9" customWidth="1"/>
    <col min="12807" max="12807" width="8.875" style="9" bestFit="1" customWidth="1"/>
    <col min="12808" max="12809" width="11.25" style="9" customWidth="1"/>
    <col min="12810" max="13056" width="9" style="9"/>
    <col min="13057" max="13057" width="21.375" style="9" customWidth="1"/>
    <col min="13058" max="13058" width="11.125" style="9" customWidth="1"/>
    <col min="13059" max="13059" width="10.75" style="9" customWidth="1"/>
    <col min="13060" max="13060" width="9" style="9"/>
    <col min="13061" max="13062" width="8" style="9" customWidth="1"/>
    <col min="13063" max="13063" width="8.875" style="9" bestFit="1" customWidth="1"/>
    <col min="13064" max="13065" width="11.25" style="9" customWidth="1"/>
    <col min="13066" max="13312" width="9" style="9"/>
    <col min="13313" max="13313" width="21.375" style="9" customWidth="1"/>
    <col min="13314" max="13314" width="11.125" style="9" customWidth="1"/>
    <col min="13315" max="13315" width="10.75" style="9" customWidth="1"/>
    <col min="13316" max="13316" width="9" style="9"/>
    <col min="13317" max="13318" width="8" style="9" customWidth="1"/>
    <col min="13319" max="13319" width="8.875" style="9" bestFit="1" customWidth="1"/>
    <col min="13320" max="13321" width="11.25" style="9" customWidth="1"/>
    <col min="13322" max="13568" width="9" style="9"/>
    <col min="13569" max="13569" width="21.375" style="9" customWidth="1"/>
    <col min="13570" max="13570" width="11.125" style="9" customWidth="1"/>
    <col min="13571" max="13571" width="10.75" style="9" customWidth="1"/>
    <col min="13572" max="13572" width="9" style="9"/>
    <col min="13573" max="13574" width="8" style="9" customWidth="1"/>
    <col min="13575" max="13575" width="8.875" style="9" bestFit="1" customWidth="1"/>
    <col min="13576" max="13577" width="11.25" style="9" customWidth="1"/>
    <col min="13578" max="13824" width="9" style="9"/>
    <col min="13825" max="13825" width="21.375" style="9" customWidth="1"/>
    <col min="13826" max="13826" width="11.125" style="9" customWidth="1"/>
    <col min="13827" max="13827" width="10.75" style="9" customWidth="1"/>
    <col min="13828" max="13828" width="9" style="9"/>
    <col min="13829" max="13830" width="8" style="9" customWidth="1"/>
    <col min="13831" max="13831" width="8.875" style="9" bestFit="1" customWidth="1"/>
    <col min="13832" max="13833" width="11.25" style="9" customWidth="1"/>
    <col min="13834" max="14080" width="9" style="9"/>
    <col min="14081" max="14081" width="21.375" style="9" customWidth="1"/>
    <col min="14082" max="14082" width="11.125" style="9" customWidth="1"/>
    <col min="14083" max="14083" width="10.75" style="9" customWidth="1"/>
    <col min="14084" max="14084" width="9" style="9"/>
    <col min="14085" max="14086" width="8" style="9" customWidth="1"/>
    <col min="14087" max="14087" width="8.875" style="9" bestFit="1" customWidth="1"/>
    <col min="14088" max="14089" width="11.25" style="9" customWidth="1"/>
    <col min="14090" max="14336" width="9" style="9"/>
    <col min="14337" max="14337" width="21.375" style="9" customWidth="1"/>
    <col min="14338" max="14338" width="11.125" style="9" customWidth="1"/>
    <col min="14339" max="14339" width="10.75" style="9" customWidth="1"/>
    <col min="14340" max="14340" width="9" style="9"/>
    <col min="14341" max="14342" width="8" style="9" customWidth="1"/>
    <col min="14343" max="14343" width="8.875" style="9" bestFit="1" customWidth="1"/>
    <col min="14344" max="14345" width="11.25" style="9" customWidth="1"/>
    <col min="14346" max="14592" width="9" style="9"/>
    <col min="14593" max="14593" width="21.375" style="9" customWidth="1"/>
    <col min="14594" max="14594" width="11.125" style="9" customWidth="1"/>
    <col min="14595" max="14595" width="10.75" style="9" customWidth="1"/>
    <col min="14596" max="14596" width="9" style="9"/>
    <col min="14597" max="14598" width="8" style="9" customWidth="1"/>
    <col min="14599" max="14599" width="8.875" style="9" bestFit="1" customWidth="1"/>
    <col min="14600" max="14601" width="11.25" style="9" customWidth="1"/>
    <col min="14602" max="14848" width="9" style="9"/>
    <col min="14849" max="14849" width="21.375" style="9" customWidth="1"/>
    <col min="14850" max="14850" width="11.125" style="9" customWidth="1"/>
    <col min="14851" max="14851" width="10.75" style="9" customWidth="1"/>
    <col min="14852" max="14852" width="9" style="9"/>
    <col min="14853" max="14854" width="8" style="9" customWidth="1"/>
    <col min="14855" max="14855" width="8.875" style="9" bestFit="1" customWidth="1"/>
    <col min="14856" max="14857" width="11.25" style="9" customWidth="1"/>
    <col min="14858" max="15104" width="9" style="9"/>
    <col min="15105" max="15105" width="21.375" style="9" customWidth="1"/>
    <col min="15106" max="15106" width="11.125" style="9" customWidth="1"/>
    <col min="15107" max="15107" width="10.75" style="9" customWidth="1"/>
    <col min="15108" max="15108" width="9" style="9"/>
    <col min="15109" max="15110" width="8" style="9" customWidth="1"/>
    <col min="15111" max="15111" width="8.875" style="9" bestFit="1" customWidth="1"/>
    <col min="15112" max="15113" width="11.25" style="9" customWidth="1"/>
    <col min="15114" max="15360" width="9" style="9"/>
    <col min="15361" max="15361" width="21.375" style="9" customWidth="1"/>
    <col min="15362" max="15362" width="11.125" style="9" customWidth="1"/>
    <col min="15363" max="15363" width="10.75" style="9" customWidth="1"/>
    <col min="15364" max="15364" width="9" style="9"/>
    <col min="15365" max="15366" width="8" style="9" customWidth="1"/>
    <col min="15367" max="15367" width="8.875" style="9" bestFit="1" customWidth="1"/>
    <col min="15368" max="15369" width="11.25" style="9" customWidth="1"/>
    <col min="15370" max="15616" width="9" style="9"/>
    <col min="15617" max="15617" width="21.375" style="9" customWidth="1"/>
    <col min="15618" max="15618" width="11.125" style="9" customWidth="1"/>
    <col min="15619" max="15619" width="10.75" style="9" customWidth="1"/>
    <col min="15620" max="15620" width="9" style="9"/>
    <col min="15621" max="15622" width="8" style="9" customWidth="1"/>
    <col min="15623" max="15623" width="8.875" style="9" bestFit="1" customWidth="1"/>
    <col min="15624" max="15625" width="11.25" style="9" customWidth="1"/>
    <col min="15626" max="15872" width="9" style="9"/>
    <col min="15873" max="15873" width="21.375" style="9" customWidth="1"/>
    <col min="15874" max="15874" width="11.125" style="9" customWidth="1"/>
    <col min="15875" max="15875" width="10.75" style="9" customWidth="1"/>
    <col min="15876" max="15876" width="9" style="9"/>
    <col min="15877" max="15878" width="8" style="9" customWidth="1"/>
    <col min="15879" max="15879" width="8.875" style="9" bestFit="1" customWidth="1"/>
    <col min="15880" max="15881" width="11.25" style="9" customWidth="1"/>
    <col min="15882" max="16128" width="9" style="9"/>
    <col min="16129" max="16129" width="21.375" style="9" customWidth="1"/>
    <col min="16130" max="16130" width="11.125" style="9" customWidth="1"/>
    <col min="16131" max="16131" width="10.75" style="9" customWidth="1"/>
    <col min="16132" max="16132" width="9" style="9"/>
    <col min="16133" max="16134" width="8" style="9" customWidth="1"/>
    <col min="16135" max="16135" width="8.875" style="9" bestFit="1" customWidth="1"/>
    <col min="16136" max="16137" width="11.25" style="9" customWidth="1"/>
    <col min="16138" max="16384" width="9" style="9"/>
  </cols>
  <sheetData>
    <row r="1" spans="1:19" s="6" customFormat="1" ht="4.5" customHeight="1">
      <c r="B1" s="7" t="s">
        <v>364</v>
      </c>
      <c r="C1" s="7"/>
      <c r="D1" s="7"/>
      <c r="E1" s="7"/>
      <c r="F1" s="7"/>
      <c r="G1" s="7"/>
      <c r="H1" s="7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ht="27.75" customHeight="1">
      <c r="B2" s="7"/>
      <c r="C2" s="7"/>
      <c r="D2" s="7"/>
      <c r="E2" s="7"/>
      <c r="F2" s="7"/>
      <c r="G2" s="7"/>
      <c r="H2" s="7"/>
    </row>
    <row r="3" spans="1:19" ht="19.5" customHeight="1">
      <c r="A3" s="11" t="s">
        <v>365</v>
      </c>
      <c r="C3" s="12"/>
      <c r="D3" s="13"/>
      <c r="E3" s="14"/>
      <c r="F3" s="14"/>
      <c r="G3" s="14"/>
    </row>
    <row r="4" spans="1:19" ht="19.5" customHeight="1">
      <c r="A4" s="11" t="s">
        <v>366</v>
      </c>
      <c r="C4" s="12"/>
      <c r="D4" s="13"/>
      <c r="E4" s="14"/>
      <c r="F4" s="14"/>
      <c r="G4" s="15"/>
      <c r="H4" s="15"/>
      <c r="I4" s="15"/>
    </row>
    <row r="5" spans="1:19" ht="12" customHeight="1" thickBot="1">
      <c r="G5" s="16"/>
      <c r="H5" s="17" t="str">
        <f>"작성일 : "&amp;TEXT(_xlfn.XLOOKUP(B7,near_miss_excel_view!C:C,near_miss_excel_view!D:D,"없음",0,1),"YY-MM-DD")</f>
        <v>작성일 : 26-04-15</v>
      </c>
      <c r="I5" s="17"/>
    </row>
    <row r="6" spans="1:19" s="26" customFormat="1" ht="18.75" customHeight="1">
      <c r="A6" s="18" t="s">
        <v>367</v>
      </c>
      <c r="B6" s="19" t="s">
        <v>368</v>
      </c>
      <c r="C6" s="20"/>
      <c r="D6" s="21" t="s">
        <v>369</v>
      </c>
      <c r="E6" s="22" t="str">
        <f>_xlfn.XLOOKUP(B7,near_miss_excel_view!C:C,near_miss_excel_view!B:B,"없음",0,1)</f>
        <v>이정민</v>
      </c>
      <c r="F6" s="23"/>
      <c r="G6" s="21" t="s">
        <v>370</v>
      </c>
      <c r="H6" s="22"/>
      <c r="I6" s="24"/>
      <c r="J6" s="25"/>
      <c r="K6" s="25"/>
      <c r="L6" s="25"/>
      <c r="M6" s="25"/>
      <c r="N6" s="25"/>
      <c r="O6" s="25"/>
      <c r="P6" s="25"/>
      <c r="Q6" s="25"/>
      <c r="R6" s="25"/>
      <c r="S6" s="25"/>
    </row>
    <row r="7" spans="1:19" s="26" customFormat="1" ht="18.75" customHeight="1">
      <c r="A7" s="27" t="s">
        <v>371</v>
      </c>
      <c r="B7" s="28" t="s">
        <v>278</v>
      </c>
      <c r="C7" s="29"/>
      <c r="D7" s="29"/>
      <c r="E7" s="29"/>
      <c r="F7" s="29"/>
      <c r="G7" s="29"/>
      <c r="H7" s="29"/>
      <c r="I7" s="30"/>
      <c r="J7" s="25"/>
      <c r="K7" s="25"/>
      <c r="L7" s="25"/>
      <c r="M7" s="25"/>
      <c r="N7" s="25"/>
      <c r="O7" s="25"/>
      <c r="P7" s="25"/>
      <c r="Q7" s="25"/>
      <c r="R7" s="25"/>
      <c r="S7" s="25"/>
    </row>
    <row r="8" spans="1:19" s="26" customFormat="1" ht="4.5" customHeight="1">
      <c r="A8" s="31"/>
      <c r="B8" s="32"/>
      <c r="I8" s="33"/>
      <c r="J8" s="25"/>
      <c r="K8" s="25"/>
      <c r="L8" s="25"/>
      <c r="M8" s="25"/>
      <c r="N8" s="25"/>
      <c r="O8" s="25"/>
      <c r="P8" s="25"/>
      <c r="Q8" s="25"/>
      <c r="R8" s="25"/>
      <c r="S8" s="25"/>
    </row>
    <row r="9" spans="1:19" s="26" customFormat="1" ht="16.5" customHeight="1">
      <c r="A9" s="34" t="s">
        <v>372</v>
      </c>
      <c r="B9" s="35" t="str">
        <f>" 1. 발생 일시 :    "&amp;TEXT(_xlfn.XLOOKUP(B7,near_miss_excel_view!C:C,near_miss_excel_view!D:D,"없음",0,1),"YYYY년 MM월 DD일 hh시 mm분")&amp;" 경"</f>
        <v xml:space="preserve"> 1. 발생 일시 :    2026년 04월 15일 10시 30분 경</v>
      </c>
      <c r="C9" s="36"/>
      <c r="I9" s="33"/>
      <c r="J9" s="25"/>
      <c r="K9" s="25"/>
      <c r="L9" s="25"/>
      <c r="M9" s="25"/>
      <c r="N9" s="25"/>
      <c r="O9" s="25"/>
      <c r="P9" s="25"/>
      <c r="Q9" s="25"/>
      <c r="R9" s="25"/>
      <c r="S9" s="25"/>
    </row>
    <row r="10" spans="1:19" s="26" customFormat="1" ht="16.5" customHeight="1">
      <c r="A10" s="34" t="s">
        <v>373</v>
      </c>
      <c r="B10" s="37" t="str">
        <f>" 2. 발생 장소 :    "&amp;_xlfn.XLOOKUP(B7,near_miss_excel_view!C:C,near_miss_excel_view!E:E,"없음",0,1)</f>
        <v xml:space="preserve"> 2. 발생 장소 :    광산 bc2 벨트</v>
      </c>
      <c r="I10" s="33"/>
      <c r="J10" s="25"/>
      <c r="K10" s="25"/>
      <c r="L10" s="25"/>
      <c r="M10" s="25"/>
      <c r="N10" s="25"/>
      <c r="O10" s="25"/>
      <c r="P10" s="25"/>
      <c r="Q10" s="25"/>
      <c r="R10" s="25"/>
      <c r="S10" s="25"/>
    </row>
    <row r="11" spans="1:19" s="26" customFormat="1" ht="16.5" customHeight="1">
      <c r="A11" s="38" t="s">
        <v>374</v>
      </c>
      <c r="B11" s="39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트레이 작업 중 그라인더로 잔넬을 절단하던 중 쉿가루가 눈으로 튐
원인: 눈에는 보안경을 착용하고 있었지만 자르는 행위 중 아래를 보면서 작업을 해야했고 보안경이 조금씩 흘러내리는 사이 눈으로 튐</v>
      </c>
      <c r="C11" s="40"/>
      <c r="D11" s="40"/>
      <c r="E11" s="40"/>
      <c r="F11" s="40"/>
      <c r="G11" s="40"/>
      <c r="H11" s="40"/>
      <c r="I11" s="41"/>
      <c r="J11" s="25"/>
      <c r="K11" s="25"/>
      <c r="L11" s="25"/>
      <c r="M11" s="25"/>
      <c r="N11" s="25"/>
      <c r="O11" s="25"/>
      <c r="P11" s="25"/>
      <c r="Q11" s="25"/>
      <c r="R11" s="25"/>
      <c r="S11" s="25"/>
    </row>
    <row r="12" spans="1:19" s="26" customFormat="1" ht="16.5" customHeight="1">
      <c r="A12" s="42" t="s">
        <v>375</v>
      </c>
      <c r="B12" s="39"/>
      <c r="C12" s="40"/>
      <c r="D12" s="40"/>
      <c r="E12" s="40"/>
      <c r="F12" s="40"/>
      <c r="G12" s="40"/>
      <c r="H12" s="40"/>
      <c r="I12" s="41"/>
      <c r="J12" s="25"/>
      <c r="K12" s="25"/>
      <c r="L12" s="25"/>
      <c r="M12" s="25"/>
      <c r="N12" s="25"/>
      <c r="O12" s="25"/>
      <c r="P12" s="25"/>
      <c r="Q12" s="25"/>
      <c r="R12" s="25"/>
      <c r="S12" s="25"/>
    </row>
    <row r="13" spans="1:19" s="26" customFormat="1" ht="16.5" customHeight="1">
      <c r="A13" s="42"/>
      <c r="B13" s="39"/>
      <c r="C13" s="40"/>
      <c r="D13" s="40"/>
      <c r="E13" s="40"/>
      <c r="F13" s="40"/>
      <c r="G13" s="40"/>
      <c r="H13" s="40"/>
      <c r="I13" s="41"/>
      <c r="J13" s="25"/>
      <c r="K13" s="25"/>
      <c r="L13" s="25"/>
      <c r="M13" s="25"/>
      <c r="N13" s="25"/>
      <c r="O13" s="25"/>
      <c r="P13" s="25"/>
      <c r="Q13" s="25"/>
      <c r="R13" s="25"/>
      <c r="S13" s="25"/>
    </row>
    <row r="14" spans="1:19" s="26" customFormat="1" ht="16.5" customHeight="1">
      <c r="A14" s="42"/>
      <c r="B14" s="39"/>
      <c r="C14" s="40"/>
      <c r="D14" s="40"/>
      <c r="E14" s="40"/>
      <c r="F14" s="40"/>
      <c r="G14" s="40"/>
      <c r="H14" s="40"/>
      <c r="I14" s="41"/>
      <c r="J14" s="25"/>
      <c r="K14" s="25"/>
      <c r="L14" s="25"/>
      <c r="M14" s="25"/>
      <c r="N14" s="25"/>
      <c r="O14" s="25"/>
      <c r="P14" s="25"/>
      <c r="Q14" s="25"/>
      <c r="R14" s="25"/>
      <c r="S14" s="25"/>
    </row>
    <row r="15" spans="1:19" s="26" customFormat="1" ht="16.5" customHeight="1">
      <c r="A15" s="34"/>
      <c r="B15" s="39"/>
      <c r="C15" s="40"/>
      <c r="D15" s="40"/>
      <c r="E15" s="40"/>
      <c r="F15" s="40"/>
      <c r="G15" s="40"/>
      <c r="H15" s="40"/>
      <c r="I15" s="41"/>
      <c r="J15" s="25"/>
      <c r="K15" s="25"/>
      <c r="L15" s="25"/>
      <c r="M15" s="25"/>
      <c r="N15" s="25"/>
      <c r="O15" s="25"/>
      <c r="P15" s="25"/>
      <c r="Q15" s="25"/>
      <c r="R15" s="25"/>
      <c r="S15" s="25"/>
    </row>
    <row r="16" spans="1:19" s="26" customFormat="1" ht="17.45" customHeight="1" thickBot="1">
      <c r="A16" s="34"/>
      <c r="B16" s="39"/>
      <c r="C16" s="40"/>
      <c r="D16" s="40"/>
      <c r="E16" s="40"/>
      <c r="F16" s="40"/>
      <c r="G16" s="40"/>
      <c r="H16" s="40"/>
      <c r="I16" s="41"/>
      <c r="J16" s="25" t="s">
        <v>376</v>
      </c>
      <c r="K16" s="25"/>
      <c r="L16" s="25" t="s">
        <v>377</v>
      </c>
      <c r="M16" s="25"/>
      <c r="N16" s="25" t="s">
        <v>378</v>
      </c>
      <c r="O16" s="25"/>
      <c r="P16" s="25" t="s">
        <v>379</v>
      </c>
      <c r="Q16" s="25"/>
      <c r="R16" s="25" t="s">
        <v>380</v>
      </c>
      <c r="S16" s="25"/>
    </row>
    <row r="17" spans="1:19" s="26" customFormat="1" ht="16.149999999999999" customHeight="1">
      <c r="A17" s="43" t="s">
        <v>381</v>
      </c>
      <c r="B17" s="44"/>
      <c r="C17" s="44"/>
      <c r="D17" s="44"/>
      <c r="E17" s="44"/>
      <c r="F17" s="44"/>
      <c r="G17" s="44"/>
      <c r="H17" s="44"/>
      <c r="I17" s="45"/>
      <c r="J17" s="25" t="str">
        <f>_xlfn.XLOOKUP(B7,near_miss_excel_view!$C:$C,near_miss_excel_view!H:H,"없음",0,1)</f>
        <v>유해물질 접촉</v>
      </c>
      <c r="K17" s="25"/>
      <c r="L17" s="25" t="str">
        <f>_xlfn.XLOOKUP(B7,near_miss_excel_view!$C:$C,near_miss_excel_view!I:I,"없음",0,1)</f>
        <v>기타</v>
      </c>
      <c r="M17" s="25"/>
      <c r="N17" s="25" t="str">
        <f>_xlfn.XLOOKUP(B7,near_miss_excel_view!$C:$C,near_miss_excel_view!J:J,"없음",0,1)</f>
        <v>불안전한 자세</v>
      </c>
      <c r="O17" s="25"/>
      <c r="P17" s="25" t="str">
        <f>_xlfn.XLOOKUP(B7,near_miss_excel_view!$C:$C,near_miss_excel_view!K:K,"없음",0,1)</f>
        <v>위험을 생각하지 않음</v>
      </c>
      <c r="Q17" s="25"/>
      <c r="R17" s="25" t="str">
        <f>_xlfn.XLOOKUP(B7,near_miss_excel_view!$C:$C,near_miss_excel_view!L:L,"없음",0,1)</f>
        <v>자만심</v>
      </c>
      <c r="S17" s="25"/>
    </row>
    <row r="18" spans="1:19" s="26" customFormat="1" ht="15.75" customHeight="1">
      <c r="A18" s="46" t="s">
        <v>382</v>
      </c>
      <c r="B18" s="47"/>
      <c r="C18" s="48"/>
      <c r="D18" s="49" t="s">
        <v>383</v>
      </c>
      <c r="E18" s="50"/>
      <c r="F18" s="50"/>
      <c r="G18" s="51"/>
      <c r="H18" s="52"/>
      <c r="I18" s="53"/>
      <c r="J18" s="25"/>
      <c r="K18" s="25"/>
      <c r="L18" s="25"/>
      <c r="M18" s="25"/>
      <c r="N18" s="25"/>
      <c r="O18" s="25"/>
      <c r="P18" s="25"/>
      <c r="Q18" s="25"/>
      <c r="R18" s="25"/>
      <c r="S18" s="25"/>
    </row>
    <row r="19" spans="1:19" s="26" customFormat="1" ht="16.149999999999999" customHeight="1">
      <c r="A19" s="54"/>
      <c r="B19" s="55"/>
      <c r="C19" s="56"/>
      <c r="D19" s="57"/>
      <c r="E19" s="58"/>
      <c r="F19" s="58"/>
      <c r="G19" s="58"/>
      <c r="H19" s="58"/>
      <c r="I19" s="59"/>
      <c r="J19" s="25" t="s">
        <v>384</v>
      </c>
      <c r="K19" s="25" t="b">
        <f t="shared" ref="K19:K36" si="0">IF(J19=$J$17,TRUE,FALSE)</f>
        <v>0</v>
      </c>
      <c r="L19" s="25" t="s">
        <v>168</v>
      </c>
      <c r="M19" s="25" t="b">
        <f>IF($L$17=L19,TRUE,FALSE)</f>
        <v>0</v>
      </c>
      <c r="N19" s="25" t="s">
        <v>385</v>
      </c>
      <c r="O19" s="25" t="b">
        <f t="shared" ref="O19:O26" si="1">IF($N$17=N19,TRUE,FALSE)</f>
        <v>0</v>
      </c>
      <c r="P19" s="25" t="s">
        <v>35</v>
      </c>
      <c r="Q19" s="25" t="b">
        <f>IF($P$17=P19,TRUE,FALSE)</f>
        <v>0</v>
      </c>
      <c r="R19" s="25" t="s">
        <v>36</v>
      </c>
      <c r="S19" s="25" t="b">
        <f>IF($R$17=R19,TRUE,FALSE)</f>
        <v>0</v>
      </c>
    </row>
    <row r="20" spans="1:19" s="26" customFormat="1" ht="16.149999999999999" customHeight="1">
      <c r="A20" s="54"/>
      <c r="B20" s="55"/>
      <c r="C20" s="56"/>
      <c r="D20" s="60"/>
      <c r="E20" s="55"/>
      <c r="F20" s="55"/>
      <c r="G20" s="55"/>
      <c r="H20" s="55"/>
      <c r="I20" s="61"/>
      <c r="J20" s="25" t="s">
        <v>32</v>
      </c>
      <c r="K20" s="25" t="b">
        <f t="shared" si="0"/>
        <v>0</v>
      </c>
      <c r="L20" s="25" t="s">
        <v>386</v>
      </c>
      <c r="M20" s="25" t="b">
        <f>IF($L$17=L20,TRUE,FALSE)</f>
        <v>0</v>
      </c>
      <c r="N20" s="25" t="s">
        <v>387</v>
      </c>
      <c r="O20" s="25" t="b">
        <f t="shared" si="1"/>
        <v>0</v>
      </c>
      <c r="P20" s="25" t="s">
        <v>158</v>
      </c>
      <c r="Q20" s="25" t="b">
        <f>IF($P$17=P20,TRUE,FALSE)</f>
        <v>0</v>
      </c>
      <c r="R20" s="25" t="s">
        <v>388</v>
      </c>
      <c r="S20" s="25" t="b">
        <f>IF($R$17=R20,TRUE,FALSE)</f>
        <v>0</v>
      </c>
    </row>
    <row r="21" spans="1:19" s="26" customFormat="1" ht="16.149999999999999" customHeight="1">
      <c r="A21" s="54"/>
      <c r="B21" s="55"/>
      <c r="C21" s="56"/>
      <c r="D21" s="60"/>
      <c r="E21" s="55"/>
      <c r="F21" s="55"/>
      <c r="G21" s="55"/>
      <c r="H21" s="55"/>
      <c r="I21" s="61"/>
      <c r="J21" s="25" t="s">
        <v>389</v>
      </c>
      <c r="K21" s="25" t="b">
        <f t="shared" si="0"/>
        <v>0</v>
      </c>
      <c r="L21" s="25" t="s">
        <v>390</v>
      </c>
      <c r="M21" s="25" t="b">
        <f>IF($L$17=L21,TRUE,FALSE)</f>
        <v>0</v>
      </c>
      <c r="N21" s="25" t="s">
        <v>391</v>
      </c>
      <c r="O21" s="25" t="b">
        <f t="shared" si="1"/>
        <v>0</v>
      </c>
      <c r="P21" s="25" t="s">
        <v>169</v>
      </c>
      <c r="Q21" s="25" t="b">
        <f>IF($P$17=P21,TRUE,FALSE)</f>
        <v>0</v>
      </c>
      <c r="R21" s="25" t="s">
        <v>392</v>
      </c>
      <c r="S21" s="25" t="b">
        <f>IF($R$17=R21,TRUE,FALSE)</f>
        <v>0</v>
      </c>
    </row>
    <row r="22" spans="1:19" s="26" customFormat="1" ht="16.149999999999999" customHeight="1">
      <c r="A22" s="54"/>
      <c r="B22" s="55"/>
      <c r="C22" s="56"/>
      <c r="D22" s="60"/>
      <c r="E22" s="55"/>
      <c r="F22" s="55"/>
      <c r="G22" s="55"/>
      <c r="H22" s="55"/>
      <c r="I22" s="61"/>
      <c r="J22" s="25" t="s">
        <v>393</v>
      </c>
      <c r="K22" s="25" t="b">
        <f t="shared" si="0"/>
        <v>0</v>
      </c>
      <c r="L22" s="25" t="s">
        <v>394</v>
      </c>
      <c r="M22" s="25" t="b">
        <f t="shared" ref="M22:M36" si="2">IF($L$17=L22,TRUE,FALSE)</f>
        <v>0</v>
      </c>
      <c r="N22" s="25" t="s">
        <v>395</v>
      </c>
      <c r="O22" s="25" t="b">
        <f t="shared" si="1"/>
        <v>0</v>
      </c>
      <c r="P22" s="25" t="s">
        <v>234</v>
      </c>
      <c r="Q22" s="25" t="b">
        <f>IF($P$17=P22,TRUE,FALSE)</f>
        <v>1</v>
      </c>
      <c r="R22" s="25" t="s">
        <v>396</v>
      </c>
      <c r="S22" s="25" t="b">
        <f>IF($R$17=R22,TRUE,FALSE)</f>
        <v>1</v>
      </c>
    </row>
    <row r="23" spans="1:19" s="26" customFormat="1" ht="16.149999999999999" customHeight="1">
      <c r="A23" s="54"/>
      <c r="B23" s="55"/>
      <c r="C23" s="56"/>
      <c r="D23" s="60"/>
      <c r="E23" s="55"/>
      <c r="F23" s="55"/>
      <c r="G23" s="55"/>
      <c r="H23" s="55"/>
      <c r="I23" s="61"/>
      <c r="J23" s="25" t="s">
        <v>397</v>
      </c>
      <c r="K23" s="25" t="b">
        <f t="shared" si="0"/>
        <v>0</v>
      </c>
      <c r="L23" s="25" t="s">
        <v>398</v>
      </c>
      <c r="M23" s="25" t="b">
        <f t="shared" si="2"/>
        <v>0</v>
      </c>
      <c r="N23" s="25" t="s">
        <v>399</v>
      </c>
      <c r="O23" s="25" t="b">
        <f t="shared" si="1"/>
        <v>1</v>
      </c>
      <c r="P23" s="25"/>
      <c r="Q23" s="25"/>
      <c r="R23" s="25"/>
      <c r="S23" s="25"/>
    </row>
    <row r="24" spans="1:19" s="26" customFormat="1" ht="16.149999999999999" customHeight="1">
      <c r="A24" s="54"/>
      <c r="B24" s="55"/>
      <c r="C24" s="56"/>
      <c r="D24" s="60"/>
      <c r="E24" s="55"/>
      <c r="F24" s="55"/>
      <c r="G24" s="55"/>
      <c r="H24" s="55"/>
      <c r="I24" s="61"/>
      <c r="J24" s="25" t="s">
        <v>400</v>
      </c>
      <c r="K24" s="25" t="b">
        <f t="shared" si="0"/>
        <v>0</v>
      </c>
      <c r="L24" s="25" t="s">
        <v>401</v>
      </c>
      <c r="M24" s="25" t="b">
        <f t="shared" si="2"/>
        <v>0</v>
      </c>
      <c r="N24" s="25" t="s">
        <v>233</v>
      </c>
      <c r="O24" s="25" t="b">
        <f t="shared" si="1"/>
        <v>0</v>
      </c>
      <c r="P24" s="25"/>
      <c r="Q24" s="25"/>
      <c r="R24" s="25"/>
      <c r="S24" s="25"/>
    </row>
    <row r="25" spans="1:19" s="26" customFormat="1" ht="16.149999999999999" customHeight="1">
      <c r="A25" s="54"/>
      <c r="B25" s="55"/>
      <c r="C25" s="56"/>
      <c r="D25" s="60"/>
      <c r="E25" s="55"/>
      <c r="F25" s="55"/>
      <c r="G25" s="55"/>
      <c r="H25" s="55"/>
      <c r="I25" s="61"/>
      <c r="J25" s="25" t="s">
        <v>402</v>
      </c>
      <c r="K25" s="25" t="b">
        <f t="shared" si="0"/>
        <v>0</v>
      </c>
      <c r="L25" s="25" t="s">
        <v>403</v>
      </c>
      <c r="M25" s="25" t="b">
        <f t="shared" si="2"/>
        <v>0</v>
      </c>
      <c r="N25" s="25" t="s">
        <v>239</v>
      </c>
      <c r="O25" s="25" t="b">
        <f t="shared" si="1"/>
        <v>0</v>
      </c>
      <c r="P25" s="25"/>
      <c r="Q25" s="25"/>
      <c r="R25" s="25"/>
      <c r="S25" s="25"/>
    </row>
    <row r="26" spans="1:19" s="26" customFormat="1" ht="16.149999999999999" customHeight="1">
      <c r="A26" s="54"/>
      <c r="B26" s="55"/>
      <c r="C26" s="56"/>
      <c r="D26" s="62"/>
      <c r="E26" s="63"/>
      <c r="F26" s="63"/>
      <c r="G26" s="63"/>
      <c r="H26" s="63"/>
      <c r="I26" s="64"/>
      <c r="J26" s="25" t="s">
        <v>232</v>
      </c>
      <c r="K26" s="25" t="b">
        <f t="shared" si="0"/>
        <v>0</v>
      </c>
      <c r="L26" s="25" t="s">
        <v>33</v>
      </c>
      <c r="M26" s="25" t="b">
        <f t="shared" si="2"/>
        <v>0</v>
      </c>
      <c r="N26" s="25" t="s">
        <v>34</v>
      </c>
      <c r="O26" s="25" t="b">
        <f t="shared" si="1"/>
        <v>0</v>
      </c>
      <c r="P26" s="25"/>
      <c r="Q26" s="25"/>
      <c r="R26" s="25"/>
      <c r="S26" s="25"/>
    </row>
    <row r="27" spans="1:19" s="26" customFormat="1" ht="15.75" customHeight="1">
      <c r="A27" s="54"/>
      <c r="B27" s="55"/>
      <c r="C27" s="56"/>
      <c r="D27" s="65" t="s">
        <v>404</v>
      </c>
      <c r="E27" s="66"/>
      <c r="F27" s="66"/>
      <c r="G27" s="67"/>
      <c r="H27" s="68"/>
      <c r="I27" s="69"/>
      <c r="J27" s="25" t="s">
        <v>405</v>
      </c>
      <c r="K27" s="25" t="b">
        <f t="shared" si="0"/>
        <v>0</v>
      </c>
      <c r="L27" s="25" t="s">
        <v>406</v>
      </c>
      <c r="M27" s="25" t="b">
        <f t="shared" si="2"/>
        <v>0</v>
      </c>
      <c r="N27" s="25"/>
      <c r="O27" s="25"/>
      <c r="P27" s="25"/>
      <c r="Q27" s="25"/>
      <c r="R27" s="25"/>
      <c r="S27" s="25"/>
    </row>
    <row r="28" spans="1:19" s="26" customFormat="1" ht="16.5" customHeight="1">
      <c r="A28" s="54"/>
      <c r="B28" s="55"/>
      <c r="C28" s="56"/>
      <c r="D28" s="70"/>
      <c r="E28" s="71"/>
      <c r="F28" s="71"/>
      <c r="G28" s="71"/>
      <c r="H28" s="71"/>
      <c r="I28" s="72"/>
      <c r="J28" s="25" t="s">
        <v>407</v>
      </c>
      <c r="K28" s="25" t="b">
        <f t="shared" si="0"/>
        <v>0</v>
      </c>
      <c r="L28" s="25" t="s">
        <v>408</v>
      </c>
      <c r="M28" s="25" t="b">
        <f t="shared" si="2"/>
        <v>0</v>
      </c>
      <c r="N28" s="25"/>
      <c r="O28" s="25"/>
      <c r="P28" s="25"/>
      <c r="Q28" s="25"/>
      <c r="R28" s="25"/>
      <c r="S28" s="25"/>
    </row>
    <row r="29" spans="1:19" s="26" customFormat="1" ht="16.5" customHeight="1">
      <c r="A29" s="54"/>
      <c r="B29" s="55"/>
      <c r="C29" s="56"/>
      <c r="D29" s="73"/>
      <c r="E29" s="74"/>
      <c r="F29" s="74"/>
      <c r="G29" s="74"/>
      <c r="H29" s="74"/>
      <c r="I29" s="75"/>
      <c r="J29" s="25" t="s">
        <v>34</v>
      </c>
      <c r="K29" s="25" t="b">
        <f t="shared" si="0"/>
        <v>0</v>
      </c>
      <c r="L29" s="25" t="s">
        <v>34</v>
      </c>
      <c r="M29" s="25" t="b">
        <f t="shared" si="2"/>
        <v>1</v>
      </c>
      <c r="N29" s="25"/>
      <c r="O29" s="25"/>
      <c r="P29" s="25"/>
      <c r="Q29" s="25"/>
      <c r="R29" s="25"/>
      <c r="S29" s="25"/>
    </row>
    <row r="30" spans="1:19" s="26" customFormat="1" ht="16.5" customHeight="1">
      <c r="A30" s="54"/>
      <c r="B30" s="55"/>
      <c r="C30" s="56"/>
      <c r="D30" s="73"/>
      <c r="E30" s="74"/>
      <c r="F30" s="74"/>
      <c r="G30" s="74"/>
      <c r="H30" s="74"/>
      <c r="I30" s="75"/>
      <c r="J30" s="25" t="s">
        <v>409</v>
      </c>
      <c r="K30" s="25" t="b">
        <f t="shared" si="0"/>
        <v>0</v>
      </c>
      <c r="L30" s="25" t="s">
        <v>410</v>
      </c>
      <c r="M30" s="25" t="b">
        <f t="shared" si="2"/>
        <v>0</v>
      </c>
      <c r="N30" s="25"/>
      <c r="O30" s="25"/>
      <c r="P30" s="25"/>
      <c r="Q30" s="25"/>
      <c r="R30" s="25"/>
      <c r="S30" s="25"/>
    </row>
    <row r="31" spans="1:19" s="26" customFormat="1" ht="16.5" customHeight="1">
      <c r="A31" s="54"/>
      <c r="B31" s="55"/>
      <c r="C31" s="56"/>
      <c r="D31" s="73"/>
      <c r="E31" s="74"/>
      <c r="F31" s="74"/>
      <c r="G31" s="74"/>
      <c r="H31" s="74"/>
      <c r="I31" s="75"/>
      <c r="J31" s="25" t="s">
        <v>411</v>
      </c>
      <c r="K31" s="25" t="b">
        <f t="shared" si="0"/>
        <v>1</v>
      </c>
      <c r="L31" s="25" t="s">
        <v>412</v>
      </c>
      <c r="M31" s="25" t="b">
        <f t="shared" si="2"/>
        <v>0</v>
      </c>
      <c r="N31" s="25"/>
      <c r="O31" s="25"/>
      <c r="P31" s="25"/>
      <c r="Q31" s="25"/>
      <c r="R31" s="25"/>
      <c r="S31" s="25"/>
    </row>
    <row r="32" spans="1:19" s="26" customFormat="1" ht="16.5" customHeight="1">
      <c r="A32" s="54"/>
      <c r="B32" s="55"/>
      <c r="C32" s="56"/>
      <c r="D32" s="73"/>
      <c r="E32" s="74"/>
      <c r="F32" s="74"/>
      <c r="G32" s="74"/>
      <c r="H32" s="74"/>
      <c r="I32" s="75"/>
      <c r="J32" s="25" t="s">
        <v>413</v>
      </c>
      <c r="K32" s="25" t="b">
        <f t="shared" si="0"/>
        <v>0</v>
      </c>
      <c r="L32" s="25" t="s">
        <v>414</v>
      </c>
      <c r="M32" s="25" t="b">
        <f t="shared" si="2"/>
        <v>0</v>
      </c>
      <c r="N32" s="25"/>
      <c r="O32" s="25"/>
      <c r="P32" s="25"/>
      <c r="Q32" s="25"/>
      <c r="R32" s="25"/>
      <c r="S32" s="25"/>
    </row>
    <row r="33" spans="1:19" s="26" customFormat="1" ht="16.5" customHeight="1">
      <c r="A33" s="54"/>
      <c r="B33" s="55"/>
      <c r="C33" s="56"/>
      <c r="D33" s="73"/>
      <c r="E33" s="74"/>
      <c r="F33" s="74"/>
      <c r="G33" s="74"/>
      <c r="H33" s="74"/>
      <c r="I33" s="75"/>
      <c r="J33" s="25" t="s">
        <v>415</v>
      </c>
      <c r="K33" s="25" t="b">
        <f t="shared" si="0"/>
        <v>0</v>
      </c>
      <c r="L33" s="25" t="s">
        <v>240</v>
      </c>
      <c r="M33" s="25" t="b">
        <f t="shared" si="2"/>
        <v>0</v>
      </c>
      <c r="N33" s="25"/>
      <c r="O33" s="25"/>
      <c r="P33" s="25"/>
      <c r="Q33" s="25"/>
      <c r="R33" s="25"/>
      <c r="S33" s="25"/>
    </row>
    <row r="34" spans="1:19" s="26" customFormat="1" ht="16.5" customHeight="1" thickBot="1">
      <c r="A34" s="76"/>
      <c r="B34" s="77"/>
      <c r="C34" s="78"/>
      <c r="D34" s="79"/>
      <c r="E34" s="80"/>
      <c r="F34" s="80"/>
      <c r="G34" s="80"/>
      <c r="H34" s="80"/>
      <c r="I34" s="81"/>
      <c r="J34" s="25" t="s">
        <v>416</v>
      </c>
      <c r="K34" s="25" t="b">
        <f t="shared" si="0"/>
        <v>0</v>
      </c>
      <c r="L34" s="25" t="s">
        <v>417</v>
      </c>
      <c r="M34" s="25" t="b">
        <f t="shared" si="2"/>
        <v>0</v>
      </c>
      <c r="N34" s="25"/>
      <c r="O34" s="25"/>
      <c r="P34" s="25"/>
      <c r="Q34" s="25"/>
      <c r="R34" s="25"/>
      <c r="S34" s="25"/>
    </row>
    <row r="35" spans="1:19" s="26" customFormat="1" ht="16.5" customHeight="1">
      <c r="A35" s="82" t="s">
        <v>418</v>
      </c>
      <c r="B35" s="83" t="s">
        <v>419</v>
      </c>
      <c r="C35" s="84"/>
      <c r="D35" s="84"/>
      <c r="E35" s="84"/>
      <c r="F35" s="84"/>
      <c r="G35" s="84"/>
      <c r="H35" s="85"/>
      <c r="I35" s="33"/>
      <c r="J35" s="25" t="s">
        <v>420</v>
      </c>
      <c r="K35" s="25" t="b">
        <f t="shared" si="0"/>
        <v>0</v>
      </c>
      <c r="L35" s="25" t="s">
        <v>421</v>
      </c>
      <c r="M35" s="25" t="b">
        <f t="shared" si="2"/>
        <v>0</v>
      </c>
      <c r="N35" s="25"/>
      <c r="O35" s="25"/>
      <c r="P35" s="25"/>
      <c r="Q35" s="25"/>
      <c r="R35" s="25"/>
      <c r="S35" s="25"/>
    </row>
    <row r="36" spans="1:19" s="26" customFormat="1" ht="16.5" customHeight="1">
      <c r="A36" s="82" t="s">
        <v>422</v>
      </c>
      <c r="B36" s="86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보안경을 바르게 착용하고 내 자세를 딱 고정할 수 있는 위치에서 작업시행</v>
      </c>
      <c r="C36" s="87"/>
      <c r="D36" s="87"/>
      <c r="E36" s="87"/>
      <c r="F36" s="87"/>
      <c r="G36" s="87"/>
      <c r="H36" s="87"/>
      <c r="I36" s="88"/>
      <c r="J36" s="25" t="s">
        <v>423</v>
      </c>
      <c r="K36" s="25" t="b">
        <f t="shared" si="0"/>
        <v>0</v>
      </c>
      <c r="L36" s="25" t="s">
        <v>424</v>
      </c>
      <c r="M36" s="25" t="b">
        <f t="shared" si="2"/>
        <v>0</v>
      </c>
      <c r="N36" s="25"/>
      <c r="O36" s="25"/>
      <c r="P36" s="25"/>
      <c r="Q36" s="25"/>
      <c r="R36" s="25"/>
      <c r="S36" s="25"/>
    </row>
    <row r="37" spans="1:19" s="26" customFormat="1" ht="27.75" customHeight="1">
      <c r="A37" s="82" t="s">
        <v>425</v>
      </c>
      <c r="B37" s="86"/>
      <c r="C37" s="87"/>
      <c r="D37" s="87"/>
      <c r="E37" s="87"/>
      <c r="F37" s="87"/>
      <c r="G37" s="87"/>
      <c r="H37" s="87"/>
      <c r="I37" s="88"/>
      <c r="J37" s="25"/>
      <c r="K37" s="25"/>
      <c r="L37" s="25"/>
      <c r="M37" s="25"/>
      <c r="N37" s="25"/>
      <c r="O37" s="25"/>
      <c r="P37" s="25"/>
      <c r="Q37" s="25"/>
      <c r="R37" s="25"/>
      <c r="S37" s="25"/>
    </row>
    <row r="38" spans="1:19" s="26" customFormat="1" ht="16.5" customHeight="1" thickBot="1">
      <c r="A38" s="89"/>
      <c r="B38" s="90"/>
      <c r="C38" s="91"/>
      <c r="D38" s="91"/>
      <c r="E38" s="91"/>
      <c r="F38" s="91"/>
      <c r="G38" s="91"/>
      <c r="H38" s="91"/>
      <c r="I38" s="92"/>
      <c r="J38" s="25"/>
      <c r="K38" s="25"/>
      <c r="L38" s="25"/>
      <c r="M38" s="25"/>
      <c r="N38" s="25"/>
      <c r="O38" s="25"/>
      <c r="P38" s="25"/>
      <c r="Q38" s="25"/>
      <c r="R38" s="25"/>
      <c r="S38" s="25"/>
    </row>
    <row r="39" spans="1:19" s="26" customFormat="1" ht="18.75" customHeight="1" thickBot="1">
      <c r="A39" s="93" t="s">
        <v>426</v>
      </c>
      <c r="B39" s="94"/>
      <c r="C39" s="94"/>
      <c r="D39" s="94"/>
      <c r="E39" s="94"/>
      <c r="F39" s="94"/>
      <c r="G39" s="94"/>
      <c r="H39" s="94"/>
      <c r="I39" s="95"/>
      <c r="J39" s="25"/>
      <c r="K39" s="25"/>
      <c r="L39" s="25"/>
      <c r="M39" s="25"/>
      <c r="N39" s="25"/>
      <c r="O39" s="25"/>
      <c r="P39" s="25"/>
      <c r="Q39" s="25"/>
      <c r="R39" s="25"/>
      <c r="S39" s="25"/>
    </row>
    <row r="40" spans="1:19" s="26" customFormat="1" ht="18" thickTop="1">
      <c r="A40" s="82" t="s">
        <v>427</v>
      </c>
      <c r="B40" s="83" t="s">
        <v>428</v>
      </c>
      <c r="C40" s="84"/>
      <c r="D40" s="84"/>
      <c r="E40" s="84"/>
      <c r="F40" s="84"/>
      <c r="G40" s="84"/>
      <c r="H40" s="85"/>
      <c r="I40" s="33"/>
      <c r="J40" s="25"/>
      <c r="K40" s="25"/>
      <c r="L40" s="25"/>
      <c r="M40" s="25"/>
      <c r="N40" s="25"/>
      <c r="O40" s="25"/>
      <c r="P40" s="25"/>
      <c r="Q40" s="25"/>
      <c r="R40" s="25"/>
      <c r="S40" s="25"/>
    </row>
    <row r="41" spans="1:19" s="26" customFormat="1">
      <c r="A41" s="96" t="s">
        <v>429</v>
      </c>
      <c r="B41" s="97"/>
      <c r="C41" s="98"/>
      <c r="D41" s="98"/>
      <c r="E41" s="98"/>
      <c r="F41" s="98"/>
      <c r="G41" s="98"/>
      <c r="H41" s="98"/>
      <c r="I41" s="99"/>
      <c r="J41" s="25"/>
      <c r="K41" s="25"/>
      <c r="L41" s="25"/>
      <c r="M41" s="25"/>
      <c r="N41" s="25"/>
      <c r="O41" s="25"/>
      <c r="P41" s="25"/>
      <c r="Q41" s="25"/>
      <c r="R41" s="25"/>
      <c r="S41" s="25"/>
    </row>
    <row r="42" spans="1:19" s="26" customFormat="1" ht="27.75" customHeight="1">
      <c r="A42" s="96" t="s">
        <v>430</v>
      </c>
      <c r="B42" s="97"/>
      <c r="C42" s="98"/>
      <c r="D42" s="98"/>
      <c r="E42" s="98"/>
      <c r="F42" s="98"/>
      <c r="G42" s="98"/>
      <c r="H42" s="98"/>
      <c r="I42" s="99"/>
      <c r="J42" s="25"/>
      <c r="K42" s="25"/>
      <c r="L42" s="25"/>
      <c r="M42" s="25"/>
      <c r="N42" s="25"/>
      <c r="O42" s="25"/>
      <c r="P42" s="25"/>
      <c r="Q42" s="25"/>
      <c r="R42" s="25"/>
      <c r="S42" s="25"/>
    </row>
    <row r="43" spans="1:19" s="26" customFormat="1" ht="18" thickBot="1">
      <c r="A43" s="100"/>
      <c r="B43" s="101"/>
      <c r="C43" s="102"/>
      <c r="D43" s="102"/>
      <c r="E43" s="102"/>
      <c r="F43" s="102"/>
      <c r="G43" s="102"/>
      <c r="H43" s="102"/>
      <c r="I43" s="103"/>
      <c r="J43" s="25"/>
      <c r="K43" s="25"/>
      <c r="L43" s="25"/>
      <c r="M43" s="25"/>
      <c r="N43" s="25"/>
      <c r="O43" s="25"/>
      <c r="P43" s="25"/>
      <c r="Q43" s="25"/>
      <c r="R43" s="25"/>
      <c r="S43" s="25"/>
    </row>
    <row r="44" spans="1:19" s="26" customFormat="1" ht="17.25" customHeight="1" thickBot="1">
      <c r="A44" s="104" t="s">
        <v>431</v>
      </c>
      <c r="B44" s="105" t="s">
        <v>432</v>
      </c>
      <c r="C44" s="106" t="s">
        <v>433</v>
      </c>
      <c r="D44" s="107"/>
      <c r="E44" s="108"/>
      <c r="F44" s="109" t="s">
        <v>434</v>
      </c>
      <c r="G44" s="110"/>
      <c r="H44" s="110"/>
      <c r="I44" s="111"/>
      <c r="J44" s="25"/>
      <c r="K44" s="25"/>
      <c r="L44" s="25"/>
      <c r="M44" s="25"/>
      <c r="N44" s="25"/>
      <c r="O44" s="25"/>
      <c r="P44" s="25"/>
      <c r="Q44" s="25"/>
      <c r="R44" s="25"/>
      <c r="S44" s="25"/>
    </row>
    <row r="45" spans="1:19" s="26" customFormat="1" ht="18.75" customHeight="1" thickBot="1">
      <c r="A45" s="93" t="s">
        <v>435</v>
      </c>
      <c r="B45" s="94"/>
      <c r="C45" s="94"/>
      <c r="D45" s="94"/>
      <c r="E45" s="94"/>
      <c r="F45" s="94"/>
      <c r="G45" s="94"/>
      <c r="H45" s="94"/>
      <c r="I45" s="95"/>
      <c r="J45" s="25"/>
      <c r="K45" s="25"/>
      <c r="L45" s="25"/>
      <c r="M45" s="25"/>
      <c r="N45" s="25"/>
      <c r="O45" s="25"/>
      <c r="P45" s="25"/>
      <c r="Q45" s="25"/>
      <c r="R45" s="25"/>
      <c r="S45" s="25"/>
    </row>
    <row r="46" spans="1:19" s="26" customFormat="1" ht="17.25" customHeight="1" thickTop="1" thickBot="1">
      <c r="A46" s="112" t="s">
        <v>436</v>
      </c>
      <c r="B46" s="113" t="s">
        <v>437</v>
      </c>
      <c r="C46" s="114" t="s">
        <v>433</v>
      </c>
      <c r="D46" s="115"/>
      <c r="E46" s="116"/>
      <c r="F46" s="117"/>
      <c r="G46" s="118"/>
      <c r="H46" s="118"/>
      <c r="I46" s="119"/>
      <c r="J46" s="25"/>
      <c r="K46" s="25"/>
      <c r="L46" s="25"/>
      <c r="M46" s="25"/>
      <c r="N46" s="25"/>
      <c r="O46" s="25"/>
      <c r="P46" s="25"/>
      <c r="Q46" s="25"/>
      <c r="R46" s="25"/>
      <c r="S46" s="25"/>
    </row>
    <row r="47" spans="1:19" s="26" customFormat="1" ht="18.75" thickTop="1" thickBot="1">
      <c r="A47" s="120" t="s">
        <v>438</v>
      </c>
      <c r="B47" s="121"/>
      <c r="C47" s="121"/>
      <c r="D47" s="121"/>
      <c r="E47" s="121"/>
      <c r="F47" s="121"/>
      <c r="G47" s="121"/>
      <c r="H47" s="121"/>
      <c r="I47" s="122"/>
      <c r="J47" s="25"/>
      <c r="K47" s="25"/>
      <c r="L47" s="25"/>
      <c r="M47" s="25"/>
      <c r="N47" s="25"/>
      <c r="O47" s="25"/>
      <c r="P47" s="25"/>
      <c r="Q47" s="25"/>
      <c r="R47" s="25"/>
      <c r="S47" s="25"/>
    </row>
    <row r="48" spans="1:19">
      <c r="A48" s="123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1:H2"/>
    <mergeCell ref="H5:I5"/>
    <mergeCell ref="B6:C6"/>
    <mergeCell ref="E6:F6"/>
    <mergeCell ref="H6:I6"/>
    <mergeCell ref="B7:I7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4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114300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6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7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38100</xdr:rowOff>
                  </from>
                  <to>
                    <xdr:col>4</xdr:col>
                    <xdr:colOff>400050</xdr:colOff>
                    <xdr:row>32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9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180975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0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190500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1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38100</xdr:rowOff>
                  </from>
                  <to>
                    <xdr:col>9</xdr:col>
                    <xdr:colOff>28575</xdr:colOff>
                    <xdr:row>30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8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9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18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0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1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2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3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4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5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6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7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8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9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0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1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2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3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4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514350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5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6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209550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7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171450</xdr:rowOff>
                  </from>
                  <to>
                    <xdr:col>1</xdr:col>
                    <xdr:colOff>695325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8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9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0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1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2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3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133350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4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142875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5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590550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6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171450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7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8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9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40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41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42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133350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43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142875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44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ECA388-1C26-45D3-AF9D-D52602E5CCAC}">
          <x14:formula1>
            <xm:f>near_miss_excel_view!$C:$C</xm:f>
          </x14:formula1>
          <xm:sqref>B7:I7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F4C3-6974-439F-9571-EB04D92EEDB7}">
  <sheetPr>
    <tabColor rgb="FFFFFF00"/>
    <pageSetUpPr fitToPage="1"/>
  </sheetPr>
  <dimension ref="A1:S48"/>
  <sheetViews>
    <sheetView showGridLines="0" view="pageBreakPreview" zoomScale="115" zoomScaleNormal="100" zoomScaleSheetLayoutView="115" workbookViewId="0">
      <selection activeCell="O23" sqref="O23"/>
    </sheetView>
  </sheetViews>
  <sheetFormatPr defaultColWidth="9" defaultRowHeight="17.25"/>
  <cols>
    <col min="1" max="1" width="21.375" style="9" customWidth="1"/>
    <col min="2" max="2" width="11.125" style="9" customWidth="1"/>
    <col min="3" max="3" width="8.625" style="9" customWidth="1"/>
    <col min="4" max="4" width="9" style="9"/>
    <col min="5" max="6" width="8" style="9" customWidth="1"/>
    <col min="7" max="7" width="8.875" style="9" bestFit="1" customWidth="1"/>
    <col min="8" max="8" width="11.25" style="9" customWidth="1"/>
    <col min="9" max="9" width="10.75" style="9" customWidth="1"/>
    <col min="10" max="10" width="10.625" style="10" customWidth="1"/>
    <col min="11" max="11" width="5.25" style="10" customWidth="1"/>
    <col min="12" max="12" width="10.625" style="10" customWidth="1"/>
    <col min="13" max="13" width="5.25" style="10" customWidth="1"/>
    <col min="14" max="14" width="10.625" style="10" customWidth="1"/>
    <col min="15" max="15" width="5.25" style="10" customWidth="1"/>
    <col min="16" max="16" width="15.375" style="10" customWidth="1"/>
    <col min="17" max="17" width="5.25" style="10" customWidth="1"/>
    <col min="18" max="18" width="9" style="10"/>
    <col min="19" max="19" width="5.75" style="10" customWidth="1"/>
    <col min="20" max="256" width="9" style="9"/>
    <col min="257" max="257" width="21.375" style="9" customWidth="1"/>
    <col min="258" max="258" width="11.125" style="9" customWidth="1"/>
    <col min="259" max="259" width="10.75" style="9" customWidth="1"/>
    <col min="260" max="260" width="9" style="9"/>
    <col min="261" max="262" width="8" style="9" customWidth="1"/>
    <col min="263" max="263" width="8.875" style="9" bestFit="1" customWidth="1"/>
    <col min="264" max="265" width="11.25" style="9" customWidth="1"/>
    <col min="266" max="512" width="9" style="9"/>
    <col min="513" max="513" width="21.375" style="9" customWidth="1"/>
    <col min="514" max="514" width="11.125" style="9" customWidth="1"/>
    <col min="515" max="515" width="10.75" style="9" customWidth="1"/>
    <col min="516" max="516" width="9" style="9"/>
    <col min="517" max="518" width="8" style="9" customWidth="1"/>
    <col min="519" max="519" width="8.875" style="9" bestFit="1" customWidth="1"/>
    <col min="520" max="521" width="11.25" style="9" customWidth="1"/>
    <col min="522" max="768" width="9" style="9"/>
    <col min="769" max="769" width="21.375" style="9" customWidth="1"/>
    <col min="770" max="770" width="11.125" style="9" customWidth="1"/>
    <col min="771" max="771" width="10.75" style="9" customWidth="1"/>
    <col min="772" max="772" width="9" style="9"/>
    <col min="773" max="774" width="8" style="9" customWidth="1"/>
    <col min="775" max="775" width="8.875" style="9" bestFit="1" customWidth="1"/>
    <col min="776" max="777" width="11.25" style="9" customWidth="1"/>
    <col min="778" max="1024" width="9" style="9"/>
    <col min="1025" max="1025" width="21.375" style="9" customWidth="1"/>
    <col min="1026" max="1026" width="11.125" style="9" customWidth="1"/>
    <col min="1027" max="1027" width="10.75" style="9" customWidth="1"/>
    <col min="1028" max="1028" width="9" style="9"/>
    <col min="1029" max="1030" width="8" style="9" customWidth="1"/>
    <col min="1031" max="1031" width="8.875" style="9" bestFit="1" customWidth="1"/>
    <col min="1032" max="1033" width="11.25" style="9" customWidth="1"/>
    <col min="1034" max="1280" width="9" style="9"/>
    <col min="1281" max="1281" width="21.375" style="9" customWidth="1"/>
    <col min="1282" max="1282" width="11.125" style="9" customWidth="1"/>
    <col min="1283" max="1283" width="10.75" style="9" customWidth="1"/>
    <col min="1284" max="1284" width="9" style="9"/>
    <col min="1285" max="1286" width="8" style="9" customWidth="1"/>
    <col min="1287" max="1287" width="8.875" style="9" bestFit="1" customWidth="1"/>
    <col min="1288" max="1289" width="11.25" style="9" customWidth="1"/>
    <col min="1290" max="1536" width="9" style="9"/>
    <col min="1537" max="1537" width="21.375" style="9" customWidth="1"/>
    <col min="1538" max="1538" width="11.125" style="9" customWidth="1"/>
    <col min="1539" max="1539" width="10.75" style="9" customWidth="1"/>
    <col min="1540" max="1540" width="9" style="9"/>
    <col min="1541" max="1542" width="8" style="9" customWidth="1"/>
    <col min="1543" max="1543" width="8.875" style="9" bestFit="1" customWidth="1"/>
    <col min="1544" max="1545" width="11.25" style="9" customWidth="1"/>
    <col min="1546" max="1792" width="9" style="9"/>
    <col min="1793" max="1793" width="21.375" style="9" customWidth="1"/>
    <col min="1794" max="1794" width="11.125" style="9" customWidth="1"/>
    <col min="1795" max="1795" width="10.75" style="9" customWidth="1"/>
    <col min="1796" max="1796" width="9" style="9"/>
    <col min="1797" max="1798" width="8" style="9" customWidth="1"/>
    <col min="1799" max="1799" width="8.875" style="9" bestFit="1" customWidth="1"/>
    <col min="1800" max="1801" width="11.25" style="9" customWidth="1"/>
    <col min="1802" max="2048" width="9" style="9"/>
    <col min="2049" max="2049" width="21.375" style="9" customWidth="1"/>
    <col min="2050" max="2050" width="11.125" style="9" customWidth="1"/>
    <col min="2051" max="2051" width="10.75" style="9" customWidth="1"/>
    <col min="2052" max="2052" width="9" style="9"/>
    <col min="2053" max="2054" width="8" style="9" customWidth="1"/>
    <col min="2055" max="2055" width="8.875" style="9" bestFit="1" customWidth="1"/>
    <col min="2056" max="2057" width="11.25" style="9" customWidth="1"/>
    <col min="2058" max="2304" width="9" style="9"/>
    <col min="2305" max="2305" width="21.375" style="9" customWidth="1"/>
    <col min="2306" max="2306" width="11.125" style="9" customWidth="1"/>
    <col min="2307" max="2307" width="10.75" style="9" customWidth="1"/>
    <col min="2308" max="2308" width="9" style="9"/>
    <col min="2309" max="2310" width="8" style="9" customWidth="1"/>
    <col min="2311" max="2311" width="8.875" style="9" bestFit="1" customWidth="1"/>
    <col min="2312" max="2313" width="11.25" style="9" customWidth="1"/>
    <col min="2314" max="2560" width="9" style="9"/>
    <col min="2561" max="2561" width="21.375" style="9" customWidth="1"/>
    <col min="2562" max="2562" width="11.125" style="9" customWidth="1"/>
    <col min="2563" max="2563" width="10.75" style="9" customWidth="1"/>
    <col min="2564" max="2564" width="9" style="9"/>
    <col min="2565" max="2566" width="8" style="9" customWidth="1"/>
    <col min="2567" max="2567" width="8.875" style="9" bestFit="1" customWidth="1"/>
    <col min="2568" max="2569" width="11.25" style="9" customWidth="1"/>
    <col min="2570" max="2816" width="9" style="9"/>
    <col min="2817" max="2817" width="21.375" style="9" customWidth="1"/>
    <col min="2818" max="2818" width="11.125" style="9" customWidth="1"/>
    <col min="2819" max="2819" width="10.75" style="9" customWidth="1"/>
    <col min="2820" max="2820" width="9" style="9"/>
    <col min="2821" max="2822" width="8" style="9" customWidth="1"/>
    <col min="2823" max="2823" width="8.875" style="9" bestFit="1" customWidth="1"/>
    <col min="2824" max="2825" width="11.25" style="9" customWidth="1"/>
    <col min="2826" max="3072" width="9" style="9"/>
    <col min="3073" max="3073" width="21.375" style="9" customWidth="1"/>
    <col min="3074" max="3074" width="11.125" style="9" customWidth="1"/>
    <col min="3075" max="3075" width="10.75" style="9" customWidth="1"/>
    <col min="3076" max="3076" width="9" style="9"/>
    <col min="3077" max="3078" width="8" style="9" customWidth="1"/>
    <col min="3079" max="3079" width="8.875" style="9" bestFit="1" customWidth="1"/>
    <col min="3080" max="3081" width="11.25" style="9" customWidth="1"/>
    <col min="3082" max="3328" width="9" style="9"/>
    <col min="3329" max="3329" width="21.375" style="9" customWidth="1"/>
    <col min="3330" max="3330" width="11.125" style="9" customWidth="1"/>
    <col min="3331" max="3331" width="10.75" style="9" customWidth="1"/>
    <col min="3332" max="3332" width="9" style="9"/>
    <col min="3333" max="3334" width="8" style="9" customWidth="1"/>
    <col min="3335" max="3335" width="8.875" style="9" bestFit="1" customWidth="1"/>
    <col min="3336" max="3337" width="11.25" style="9" customWidth="1"/>
    <col min="3338" max="3584" width="9" style="9"/>
    <col min="3585" max="3585" width="21.375" style="9" customWidth="1"/>
    <col min="3586" max="3586" width="11.125" style="9" customWidth="1"/>
    <col min="3587" max="3587" width="10.75" style="9" customWidth="1"/>
    <col min="3588" max="3588" width="9" style="9"/>
    <col min="3589" max="3590" width="8" style="9" customWidth="1"/>
    <col min="3591" max="3591" width="8.875" style="9" bestFit="1" customWidth="1"/>
    <col min="3592" max="3593" width="11.25" style="9" customWidth="1"/>
    <col min="3594" max="3840" width="9" style="9"/>
    <col min="3841" max="3841" width="21.375" style="9" customWidth="1"/>
    <col min="3842" max="3842" width="11.125" style="9" customWidth="1"/>
    <col min="3843" max="3843" width="10.75" style="9" customWidth="1"/>
    <col min="3844" max="3844" width="9" style="9"/>
    <col min="3845" max="3846" width="8" style="9" customWidth="1"/>
    <col min="3847" max="3847" width="8.875" style="9" bestFit="1" customWidth="1"/>
    <col min="3848" max="3849" width="11.25" style="9" customWidth="1"/>
    <col min="3850" max="4096" width="9" style="9"/>
    <col min="4097" max="4097" width="21.375" style="9" customWidth="1"/>
    <col min="4098" max="4098" width="11.125" style="9" customWidth="1"/>
    <col min="4099" max="4099" width="10.75" style="9" customWidth="1"/>
    <col min="4100" max="4100" width="9" style="9"/>
    <col min="4101" max="4102" width="8" style="9" customWidth="1"/>
    <col min="4103" max="4103" width="8.875" style="9" bestFit="1" customWidth="1"/>
    <col min="4104" max="4105" width="11.25" style="9" customWidth="1"/>
    <col min="4106" max="4352" width="9" style="9"/>
    <col min="4353" max="4353" width="21.375" style="9" customWidth="1"/>
    <col min="4354" max="4354" width="11.125" style="9" customWidth="1"/>
    <col min="4355" max="4355" width="10.75" style="9" customWidth="1"/>
    <col min="4356" max="4356" width="9" style="9"/>
    <col min="4357" max="4358" width="8" style="9" customWidth="1"/>
    <col min="4359" max="4359" width="8.875" style="9" bestFit="1" customWidth="1"/>
    <col min="4360" max="4361" width="11.25" style="9" customWidth="1"/>
    <col min="4362" max="4608" width="9" style="9"/>
    <col min="4609" max="4609" width="21.375" style="9" customWidth="1"/>
    <col min="4610" max="4610" width="11.125" style="9" customWidth="1"/>
    <col min="4611" max="4611" width="10.75" style="9" customWidth="1"/>
    <col min="4612" max="4612" width="9" style="9"/>
    <col min="4613" max="4614" width="8" style="9" customWidth="1"/>
    <col min="4615" max="4615" width="8.875" style="9" bestFit="1" customWidth="1"/>
    <col min="4616" max="4617" width="11.25" style="9" customWidth="1"/>
    <col min="4618" max="4864" width="9" style="9"/>
    <col min="4865" max="4865" width="21.375" style="9" customWidth="1"/>
    <col min="4866" max="4866" width="11.125" style="9" customWidth="1"/>
    <col min="4867" max="4867" width="10.75" style="9" customWidth="1"/>
    <col min="4868" max="4868" width="9" style="9"/>
    <col min="4869" max="4870" width="8" style="9" customWidth="1"/>
    <col min="4871" max="4871" width="8.875" style="9" bestFit="1" customWidth="1"/>
    <col min="4872" max="4873" width="11.25" style="9" customWidth="1"/>
    <col min="4874" max="5120" width="9" style="9"/>
    <col min="5121" max="5121" width="21.375" style="9" customWidth="1"/>
    <col min="5122" max="5122" width="11.125" style="9" customWidth="1"/>
    <col min="5123" max="5123" width="10.75" style="9" customWidth="1"/>
    <col min="5124" max="5124" width="9" style="9"/>
    <col min="5125" max="5126" width="8" style="9" customWidth="1"/>
    <col min="5127" max="5127" width="8.875" style="9" bestFit="1" customWidth="1"/>
    <col min="5128" max="5129" width="11.25" style="9" customWidth="1"/>
    <col min="5130" max="5376" width="9" style="9"/>
    <col min="5377" max="5377" width="21.375" style="9" customWidth="1"/>
    <col min="5378" max="5378" width="11.125" style="9" customWidth="1"/>
    <col min="5379" max="5379" width="10.75" style="9" customWidth="1"/>
    <col min="5380" max="5380" width="9" style="9"/>
    <col min="5381" max="5382" width="8" style="9" customWidth="1"/>
    <col min="5383" max="5383" width="8.875" style="9" bestFit="1" customWidth="1"/>
    <col min="5384" max="5385" width="11.25" style="9" customWidth="1"/>
    <col min="5386" max="5632" width="9" style="9"/>
    <col min="5633" max="5633" width="21.375" style="9" customWidth="1"/>
    <col min="5634" max="5634" width="11.125" style="9" customWidth="1"/>
    <col min="5635" max="5635" width="10.75" style="9" customWidth="1"/>
    <col min="5636" max="5636" width="9" style="9"/>
    <col min="5637" max="5638" width="8" style="9" customWidth="1"/>
    <col min="5639" max="5639" width="8.875" style="9" bestFit="1" customWidth="1"/>
    <col min="5640" max="5641" width="11.25" style="9" customWidth="1"/>
    <col min="5642" max="5888" width="9" style="9"/>
    <col min="5889" max="5889" width="21.375" style="9" customWidth="1"/>
    <col min="5890" max="5890" width="11.125" style="9" customWidth="1"/>
    <col min="5891" max="5891" width="10.75" style="9" customWidth="1"/>
    <col min="5892" max="5892" width="9" style="9"/>
    <col min="5893" max="5894" width="8" style="9" customWidth="1"/>
    <col min="5895" max="5895" width="8.875" style="9" bestFit="1" customWidth="1"/>
    <col min="5896" max="5897" width="11.25" style="9" customWidth="1"/>
    <col min="5898" max="6144" width="9" style="9"/>
    <col min="6145" max="6145" width="21.375" style="9" customWidth="1"/>
    <col min="6146" max="6146" width="11.125" style="9" customWidth="1"/>
    <col min="6147" max="6147" width="10.75" style="9" customWidth="1"/>
    <col min="6148" max="6148" width="9" style="9"/>
    <col min="6149" max="6150" width="8" style="9" customWidth="1"/>
    <col min="6151" max="6151" width="8.875" style="9" bestFit="1" customWidth="1"/>
    <col min="6152" max="6153" width="11.25" style="9" customWidth="1"/>
    <col min="6154" max="6400" width="9" style="9"/>
    <col min="6401" max="6401" width="21.375" style="9" customWidth="1"/>
    <col min="6402" max="6402" width="11.125" style="9" customWidth="1"/>
    <col min="6403" max="6403" width="10.75" style="9" customWidth="1"/>
    <col min="6404" max="6404" width="9" style="9"/>
    <col min="6405" max="6406" width="8" style="9" customWidth="1"/>
    <col min="6407" max="6407" width="8.875" style="9" bestFit="1" customWidth="1"/>
    <col min="6408" max="6409" width="11.25" style="9" customWidth="1"/>
    <col min="6410" max="6656" width="9" style="9"/>
    <col min="6657" max="6657" width="21.375" style="9" customWidth="1"/>
    <col min="6658" max="6658" width="11.125" style="9" customWidth="1"/>
    <col min="6659" max="6659" width="10.75" style="9" customWidth="1"/>
    <col min="6660" max="6660" width="9" style="9"/>
    <col min="6661" max="6662" width="8" style="9" customWidth="1"/>
    <col min="6663" max="6663" width="8.875" style="9" bestFit="1" customWidth="1"/>
    <col min="6664" max="6665" width="11.25" style="9" customWidth="1"/>
    <col min="6666" max="6912" width="9" style="9"/>
    <col min="6913" max="6913" width="21.375" style="9" customWidth="1"/>
    <col min="6914" max="6914" width="11.125" style="9" customWidth="1"/>
    <col min="6915" max="6915" width="10.75" style="9" customWidth="1"/>
    <col min="6916" max="6916" width="9" style="9"/>
    <col min="6917" max="6918" width="8" style="9" customWidth="1"/>
    <col min="6919" max="6919" width="8.875" style="9" bestFit="1" customWidth="1"/>
    <col min="6920" max="6921" width="11.25" style="9" customWidth="1"/>
    <col min="6922" max="7168" width="9" style="9"/>
    <col min="7169" max="7169" width="21.375" style="9" customWidth="1"/>
    <col min="7170" max="7170" width="11.125" style="9" customWidth="1"/>
    <col min="7171" max="7171" width="10.75" style="9" customWidth="1"/>
    <col min="7172" max="7172" width="9" style="9"/>
    <col min="7173" max="7174" width="8" style="9" customWidth="1"/>
    <col min="7175" max="7175" width="8.875" style="9" bestFit="1" customWidth="1"/>
    <col min="7176" max="7177" width="11.25" style="9" customWidth="1"/>
    <col min="7178" max="7424" width="9" style="9"/>
    <col min="7425" max="7425" width="21.375" style="9" customWidth="1"/>
    <col min="7426" max="7426" width="11.125" style="9" customWidth="1"/>
    <col min="7427" max="7427" width="10.75" style="9" customWidth="1"/>
    <col min="7428" max="7428" width="9" style="9"/>
    <col min="7429" max="7430" width="8" style="9" customWidth="1"/>
    <col min="7431" max="7431" width="8.875" style="9" bestFit="1" customWidth="1"/>
    <col min="7432" max="7433" width="11.25" style="9" customWidth="1"/>
    <col min="7434" max="7680" width="9" style="9"/>
    <col min="7681" max="7681" width="21.375" style="9" customWidth="1"/>
    <col min="7682" max="7682" width="11.125" style="9" customWidth="1"/>
    <col min="7683" max="7683" width="10.75" style="9" customWidth="1"/>
    <col min="7684" max="7684" width="9" style="9"/>
    <col min="7685" max="7686" width="8" style="9" customWidth="1"/>
    <col min="7687" max="7687" width="8.875" style="9" bestFit="1" customWidth="1"/>
    <col min="7688" max="7689" width="11.25" style="9" customWidth="1"/>
    <col min="7690" max="7936" width="9" style="9"/>
    <col min="7937" max="7937" width="21.375" style="9" customWidth="1"/>
    <col min="7938" max="7938" width="11.125" style="9" customWidth="1"/>
    <col min="7939" max="7939" width="10.75" style="9" customWidth="1"/>
    <col min="7940" max="7940" width="9" style="9"/>
    <col min="7941" max="7942" width="8" style="9" customWidth="1"/>
    <col min="7943" max="7943" width="8.875" style="9" bestFit="1" customWidth="1"/>
    <col min="7944" max="7945" width="11.25" style="9" customWidth="1"/>
    <col min="7946" max="8192" width="9" style="9"/>
    <col min="8193" max="8193" width="21.375" style="9" customWidth="1"/>
    <col min="8194" max="8194" width="11.125" style="9" customWidth="1"/>
    <col min="8195" max="8195" width="10.75" style="9" customWidth="1"/>
    <col min="8196" max="8196" width="9" style="9"/>
    <col min="8197" max="8198" width="8" style="9" customWidth="1"/>
    <col min="8199" max="8199" width="8.875" style="9" bestFit="1" customWidth="1"/>
    <col min="8200" max="8201" width="11.25" style="9" customWidth="1"/>
    <col min="8202" max="8448" width="9" style="9"/>
    <col min="8449" max="8449" width="21.375" style="9" customWidth="1"/>
    <col min="8450" max="8450" width="11.125" style="9" customWidth="1"/>
    <col min="8451" max="8451" width="10.75" style="9" customWidth="1"/>
    <col min="8452" max="8452" width="9" style="9"/>
    <col min="8453" max="8454" width="8" style="9" customWidth="1"/>
    <col min="8455" max="8455" width="8.875" style="9" bestFit="1" customWidth="1"/>
    <col min="8456" max="8457" width="11.25" style="9" customWidth="1"/>
    <col min="8458" max="8704" width="9" style="9"/>
    <col min="8705" max="8705" width="21.375" style="9" customWidth="1"/>
    <col min="8706" max="8706" width="11.125" style="9" customWidth="1"/>
    <col min="8707" max="8707" width="10.75" style="9" customWidth="1"/>
    <col min="8708" max="8708" width="9" style="9"/>
    <col min="8709" max="8710" width="8" style="9" customWidth="1"/>
    <col min="8711" max="8711" width="8.875" style="9" bestFit="1" customWidth="1"/>
    <col min="8712" max="8713" width="11.25" style="9" customWidth="1"/>
    <col min="8714" max="8960" width="9" style="9"/>
    <col min="8961" max="8961" width="21.375" style="9" customWidth="1"/>
    <col min="8962" max="8962" width="11.125" style="9" customWidth="1"/>
    <col min="8963" max="8963" width="10.75" style="9" customWidth="1"/>
    <col min="8964" max="8964" width="9" style="9"/>
    <col min="8965" max="8966" width="8" style="9" customWidth="1"/>
    <col min="8967" max="8967" width="8.875" style="9" bestFit="1" customWidth="1"/>
    <col min="8968" max="8969" width="11.25" style="9" customWidth="1"/>
    <col min="8970" max="9216" width="9" style="9"/>
    <col min="9217" max="9217" width="21.375" style="9" customWidth="1"/>
    <col min="9218" max="9218" width="11.125" style="9" customWidth="1"/>
    <col min="9219" max="9219" width="10.75" style="9" customWidth="1"/>
    <col min="9220" max="9220" width="9" style="9"/>
    <col min="9221" max="9222" width="8" style="9" customWidth="1"/>
    <col min="9223" max="9223" width="8.875" style="9" bestFit="1" customWidth="1"/>
    <col min="9224" max="9225" width="11.25" style="9" customWidth="1"/>
    <col min="9226" max="9472" width="9" style="9"/>
    <col min="9473" max="9473" width="21.375" style="9" customWidth="1"/>
    <col min="9474" max="9474" width="11.125" style="9" customWidth="1"/>
    <col min="9475" max="9475" width="10.75" style="9" customWidth="1"/>
    <col min="9476" max="9476" width="9" style="9"/>
    <col min="9477" max="9478" width="8" style="9" customWidth="1"/>
    <col min="9479" max="9479" width="8.875" style="9" bestFit="1" customWidth="1"/>
    <col min="9480" max="9481" width="11.25" style="9" customWidth="1"/>
    <col min="9482" max="9728" width="9" style="9"/>
    <col min="9729" max="9729" width="21.375" style="9" customWidth="1"/>
    <col min="9730" max="9730" width="11.125" style="9" customWidth="1"/>
    <col min="9731" max="9731" width="10.75" style="9" customWidth="1"/>
    <col min="9732" max="9732" width="9" style="9"/>
    <col min="9733" max="9734" width="8" style="9" customWidth="1"/>
    <col min="9735" max="9735" width="8.875" style="9" bestFit="1" customWidth="1"/>
    <col min="9736" max="9737" width="11.25" style="9" customWidth="1"/>
    <col min="9738" max="9984" width="9" style="9"/>
    <col min="9985" max="9985" width="21.375" style="9" customWidth="1"/>
    <col min="9986" max="9986" width="11.125" style="9" customWidth="1"/>
    <col min="9987" max="9987" width="10.75" style="9" customWidth="1"/>
    <col min="9988" max="9988" width="9" style="9"/>
    <col min="9989" max="9990" width="8" style="9" customWidth="1"/>
    <col min="9991" max="9991" width="8.875" style="9" bestFit="1" customWidth="1"/>
    <col min="9992" max="9993" width="11.25" style="9" customWidth="1"/>
    <col min="9994" max="10240" width="9" style="9"/>
    <col min="10241" max="10241" width="21.375" style="9" customWidth="1"/>
    <col min="10242" max="10242" width="11.125" style="9" customWidth="1"/>
    <col min="10243" max="10243" width="10.75" style="9" customWidth="1"/>
    <col min="10244" max="10244" width="9" style="9"/>
    <col min="10245" max="10246" width="8" style="9" customWidth="1"/>
    <col min="10247" max="10247" width="8.875" style="9" bestFit="1" customWidth="1"/>
    <col min="10248" max="10249" width="11.25" style="9" customWidth="1"/>
    <col min="10250" max="10496" width="9" style="9"/>
    <col min="10497" max="10497" width="21.375" style="9" customWidth="1"/>
    <col min="10498" max="10498" width="11.125" style="9" customWidth="1"/>
    <col min="10499" max="10499" width="10.75" style="9" customWidth="1"/>
    <col min="10500" max="10500" width="9" style="9"/>
    <col min="10501" max="10502" width="8" style="9" customWidth="1"/>
    <col min="10503" max="10503" width="8.875" style="9" bestFit="1" customWidth="1"/>
    <col min="10504" max="10505" width="11.25" style="9" customWidth="1"/>
    <col min="10506" max="10752" width="9" style="9"/>
    <col min="10753" max="10753" width="21.375" style="9" customWidth="1"/>
    <col min="10754" max="10754" width="11.125" style="9" customWidth="1"/>
    <col min="10755" max="10755" width="10.75" style="9" customWidth="1"/>
    <col min="10756" max="10756" width="9" style="9"/>
    <col min="10757" max="10758" width="8" style="9" customWidth="1"/>
    <col min="10759" max="10759" width="8.875" style="9" bestFit="1" customWidth="1"/>
    <col min="10760" max="10761" width="11.25" style="9" customWidth="1"/>
    <col min="10762" max="11008" width="9" style="9"/>
    <col min="11009" max="11009" width="21.375" style="9" customWidth="1"/>
    <col min="11010" max="11010" width="11.125" style="9" customWidth="1"/>
    <col min="11011" max="11011" width="10.75" style="9" customWidth="1"/>
    <col min="11012" max="11012" width="9" style="9"/>
    <col min="11013" max="11014" width="8" style="9" customWidth="1"/>
    <col min="11015" max="11015" width="8.875" style="9" bestFit="1" customWidth="1"/>
    <col min="11016" max="11017" width="11.25" style="9" customWidth="1"/>
    <col min="11018" max="11264" width="9" style="9"/>
    <col min="11265" max="11265" width="21.375" style="9" customWidth="1"/>
    <col min="11266" max="11266" width="11.125" style="9" customWidth="1"/>
    <col min="11267" max="11267" width="10.75" style="9" customWidth="1"/>
    <col min="11268" max="11268" width="9" style="9"/>
    <col min="11269" max="11270" width="8" style="9" customWidth="1"/>
    <col min="11271" max="11271" width="8.875" style="9" bestFit="1" customWidth="1"/>
    <col min="11272" max="11273" width="11.25" style="9" customWidth="1"/>
    <col min="11274" max="11520" width="9" style="9"/>
    <col min="11521" max="11521" width="21.375" style="9" customWidth="1"/>
    <col min="11522" max="11522" width="11.125" style="9" customWidth="1"/>
    <col min="11523" max="11523" width="10.75" style="9" customWidth="1"/>
    <col min="11524" max="11524" width="9" style="9"/>
    <col min="11525" max="11526" width="8" style="9" customWidth="1"/>
    <col min="11527" max="11527" width="8.875" style="9" bestFit="1" customWidth="1"/>
    <col min="11528" max="11529" width="11.25" style="9" customWidth="1"/>
    <col min="11530" max="11776" width="9" style="9"/>
    <col min="11777" max="11777" width="21.375" style="9" customWidth="1"/>
    <col min="11778" max="11778" width="11.125" style="9" customWidth="1"/>
    <col min="11779" max="11779" width="10.75" style="9" customWidth="1"/>
    <col min="11780" max="11780" width="9" style="9"/>
    <col min="11781" max="11782" width="8" style="9" customWidth="1"/>
    <col min="11783" max="11783" width="8.875" style="9" bestFit="1" customWidth="1"/>
    <col min="11784" max="11785" width="11.25" style="9" customWidth="1"/>
    <col min="11786" max="12032" width="9" style="9"/>
    <col min="12033" max="12033" width="21.375" style="9" customWidth="1"/>
    <col min="12034" max="12034" width="11.125" style="9" customWidth="1"/>
    <col min="12035" max="12035" width="10.75" style="9" customWidth="1"/>
    <col min="12036" max="12036" width="9" style="9"/>
    <col min="12037" max="12038" width="8" style="9" customWidth="1"/>
    <col min="12039" max="12039" width="8.875" style="9" bestFit="1" customWidth="1"/>
    <col min="12040" max="12041" width="11.25" style="9" customWidth="1"/>
    <col min="12042" max="12288" width="9" style="9"/>
    <col min="12289" max="12289" width="21.375" style="9" customWidth="1"/>
    <col min="12290" max="12290" width="11.125" style="9" customWidth="1"/>
    <col min="12291" max="12291" width="10.75" style="9" customWidth="1"/>
    <col min="12292" max="12292" width="9" style="9"/>
    <col min="12293" max="12294" width="8" style="9" customWidth="1"/>
    <col min="12295" max="12295" width="8.875" style="9" bestFit="1" customWidth="1"/>
    <col min="12296" max="12297" width="11.25" style="9" customWidth="1"/>
    <col min="12298" max="12544" width="9" style="9"/>
    <col min="12545" max="12545" width="21.375" style="9" customWidth="1"/>
    <col min="12546" max="12546" width="11.125" style="9" customWidth="1"/>
    <col min="12547" max="12547" width="10.75" style="9" customWidth="1"/>
    <col min="12548" max="12548" width="9" style="9"/>
    <col min="12549" max="12550" width="8" style="9" customWidth="1"/>
    <col min="12551" max="12551" width="8.875" style="9" bestFit="1" customWidth="1"/>
    <col min="12552" max="12553" width="11.25" style="9" customWidth="1"/>
    <col min="12554" max="12800" width="9" style="9"/>
    <col min="12801" max="12801" width="21.375" style="9" customWidth="1"/>
    <col min="12802" max="12802" width="11.125" style="9" customWidth="1"/>
    <col min="12803" max="12803" width="10.75" style="9" customWidth="1"/>
    <col min="12804" max="12804" width="9" style="9"/>
    <col min="12805" max="12806" width="8" style="9" customWidth="1"/>
    <col min="12807" max="12807" width="8.875" style="9" bestFit="1" customWidth="1"/>
    <col min="12808" max="12809" width="11.25" style="9" customWidth="1"/>
    <col min="12810" max="13056" width="9" style="9"/>
    <col min="13057" max="13057" width="21.375" style="9" customWidth="1"/>
    <col min="13058" max="13058" width="11.125" style="9" customWidth="1"/>
    <col min="13059" max="13059" width="10.75" style="9" customWidth="1"/>
    <col min="13060" max="13060" width="9" style="9"/>
    <col min="13061" max="13062" width="8" style="9" customWidth="1"/>
    <col min="13063" max="13063" width="8.875" style="9" bestFit="1" customWidth="1"/>
    <col min="13064" max="13065" width="11.25" style="9" customWidth="1"/>
    <col min="13066" max="13312" width="9" style="9"/>
    <col min="13313" max="13313" width="21.375" style="9" customWidth="1"/>
    <col min="13314" max="13314" width="11.125" style="9" customWidth="1"/>
    <col min="13315" max="13315" width="10.75" style="9" customWidth="1"/>
    <col min="13316" max="13316" width="9" style="9"/>
    <col min="13317" max="13318" width="8" style="9" customWidth="1"/>
    <col min="13319" max="13319" width="8.875" style="9" bestFit="1" customWidth="1"/>
    <col min="13320" max="13321" width="11.25" style="9" customWidth="1"/>
    <col min="13322" max="13568" width="9" style="9"/>
    <col min="13569" max="13569" width="21.375" style="9" customWidth="1"/>
    <col min="13570" max="13570" width="11.125" style="9" customWidth="1"/>
    <col min="13571" max="13571" width="10.75" style="9" customWidth="1"/>
    <col min="13572" max="13572" width="9" style="9"/>
    <col min="13573" max="13574" width="8" style="9" customWidth="1"/>
    <col min="13575" max="13575" width="8.875" style="9" bestFit="1" customWidth="1"/>
    <col min="13576" max="13577" width="11.25" style="9" customWidth="1"/>
    <col min="13578" max="13824" width="9" style="9"/>
    <col min="13825" max="13825" width="21.375" style="9" customWidth="1"/>
    <col min="13826" max="13826" width="11.125" style="9" customWidth="1"/>
    <col min="13827" max="13827" width="10.75" style="9" customWidth="1"/>
    <col min="13828" max="13828" width="9" style="9"/>
    <col min="13829" max="13830" width="8" style="9" customWidth="1"/>
    <col min="13831" max="13831" width="8.875" style="9" bestFit="1" customWidth="1"/>
    <col min="13832" max="13833" width="11.25" style="9" customWidth="1"/>
    <col min="13834" max="14080" width="9" style="9"/>
    <col min="14081" max="14081" width="21.375" style="9" customWidth="1"/>
    <col min="14082" max="14082" width="11.125" style="9" customWidth="1"/>
    <col min="14083" max="14083" width="10.75" style="9" customWidth="1"/>
    <col min="14084" max="14084" width="9" style="9"/>
    <col min="14085" max="14086" width="8" style="9" customWidth="1"/>
    <col min="14087" max="14087" width="8.875" style="9" bestFit="1" customWidth="1"/>
    <col min="14088" max="14089" width="11.25" style="9" customWidth="1"/>
    <col min="14090" max="14336" width="9" style="9"/>
    <col min="14337" max="14337" width="21.375" style="9" customWidth="1"/>
    <col min="14338" max="14338" width="11.125" style="9" customWidth="1"/>
    <col min="14339" max="14339" width="10.75" style="9" customWidth="1"/>
    <col min="14340" max="14340" width="9" style="9"/>
    <col min="14341" max="14342" width="8" style="9" customWidth="1"/>
    <col min="14343" max="14343" width="8.875" style="9" bestFit="1" customWidth="1"/>
    <col min="14344" max="14345" width="11.25" style="9" customWidth="1"/>
    <col min="14346" max="14592" width="9" style="9"/>
    <col min="14593" max="14593" width="21.375" style="9" customWidth="1"/>
    <col min="14594" max="14594" width="11.125" style="9" customWidth="1"/>
    <col min="14595" max="14595" width="10.75" style="9" customWidth="1"/>
    <col min="14596" max="14596" width="9" style="9"/>
    <col min="14597" max="14598" width="8" style="9" customWidth="1"/>
    <col min="14599" max="14599" width="8.875" style="9" bestFit="1" customWidth="1"/>
    <col min="14600" max="14601" width="11.25" style="9" customWidth="1"/>
    <col min="14602" max="14848" width="9" style="9"/>
    <col min="14849" max="14849" width="21.375" style="9" customWidth="1"/>
    <col min="14850" max="14850" width="11.125" style="9" customWidth="1"/>
    <col min="14851" max="14851" width="10.75" style="9" customWidth="1"/>
    <col min="14852" max="14852" width="9" style="9"/>
    <col min="14853" max="14854" width="8" style="9" customWidth="1"/>
    <col min="14855" max="14855" width="8.875" style="9" bestFit="1" customWidth="1"/>
    <col min="14856" max="14857" width="11.25" style="9" customWidth="1"/>
    <col min="14858" max="15104" width="9" style="9"/>
    <col min="15105" max="15105" width="21.375" style="9" customWidth="1"/>
    <col min="15106" max="15106" width="11.125" style="9" customWidth="1"/>
    <col min="15107" max="15107" width="10.75" style="9" customWidth="1"/>
    <col min="15108" max="15108" width="9" style="9"/>
    <col min="15109" max="15110" width="8" style="9" customWidth="1"/>
    <col min="15111" max="15111" width="8.875" style="9" bestFit="1" customWidth="1"/>
    <col min="15112" max="15113" width="11.25" style="9" customWidth="1"/>
    <col min="15114" max="15360" width="9" style="9"/>
    <col min="15361" max="15361" width="21.375" style="9" customWidth="1"/>
    <col min="15362" max="15362" width="11.125" style="9" customWidth="1"/>
    <col min="15363" max="15363" width="10.75" style="9" customWidth="1"/>
    <col min="15364" max="15364" width="9" style="9"/>
    <col min="15365" max="15366" width="8" style="9" customWidth="1"/>
    <col min="15367" max="15367" width="8.875" style="9" bestFit="1" customWidth="1"/>
    <col min="15368" max="15369" width="11.25" style="9" customWidth="1"/>
    <col min="15370" max="15616" width="9" style="9"/>
    <col min="15617" max="15617" width="21.375" style="9" customWidth="1"/>
    <col min="15618" max="15618" width="11.125" style="9" customWidth="1"/>
    <col min="15619" max="15619" width="10.75" style="9" customWidth="1"/>
    <col min="15620" max="15620" width="9" style="9"/>
    <col min="15621" max="15622" width="8" style="9" customWidth="1"/>
    <col min="15623" max="15623" width="8.875" style="9" bestFit="1" customWidth="1"/>
    <col min="15624" max="15625" width="11.25" style="9" customWidth="1"/>
    <col min="15626" max="15872" width="9" style="9"/>
    <col min="15873" max="15873" width="21.375" style="9" customWidth="1"/>
    <col min="15874" max="15874" width="11.125" style="9" customWidth="1"/>
    <col min="15875" max="15875" width="10.75" style="9" customWidth="1"/>
    <col min="15876" max="15876" width="9" style="9"/>
    <col min="15877" max="15878" width="8" style="9" customWidth="1"/>
    <col min="15879" max="15879" width="8.875" style="9" bestFit="1" customWidth="1"/>
    <col min="15880" max="15881" width="11.25" style="9" customWidth="1"/>
    <col min="15882" max="16128" width="9" style="9"/>
    <col min="16129" max="16129" width="21.375" style="9" customWidth="1"/>
    <col min="16130" max="16130" width="11.125" style="9" customWidth="1"/>
    <col min="16131" max="16131" width="10.75" style="9" customWidth="1"/>
    <col min="16132" max="16132" width="9" style="9"/>
    <col min="16133" max="16134" width="8" style="9" customWidth="1"/>
    <col min="16135" max="16135" width="8.875" style="9" bestFit="1" customWidth="1"/>
    <col min="16136" max="16137" width="11.25" style="9" customWidth="1"/>
    <col min="16138" max="16384" width="9" style="9"/>
  </cols>
  <sheetData>
    <row r="1" spans="1:19" s="6" customFormat="1" ht="4.5" customHeight="1">
      <c r="B1" s="7" t="s">
        <v>364</v>
      </c>
      <c r="C1" s="7"/>
      <c r="D1" s="7"/>
      <c r="E1" s="7"/>
      <c r="F1" s="7"/>
      <c r="G1" s="7"/>
      <c r="H1" s="7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ht="27.75" customHeight="1">
      <c r="B2" s="7"/>
      <c r="C2" s="7"/>
      <c r="D2" s="7"/>
      <c r="E2" s="7"/>
      <c r="F2" s="7"/>
      <c r="G2" s="7"/>
      <c r="H2" s="7"/>
    </row>
    <row r="3" spans="1:19" ht="19.5" customHeight="1">
      <c r="A3" s="11" t="s">
        <v>365</v>
      </c>
      <c r="C3" s="12"/>
      <c r="D3" s="13"/>
      <c r="E3" s="14"/>
      <c r="F3" s="14"/>
      <c r="G3" s="14"/>
    </row>
    <row r="4" spans="1:19" ht="19.5" customHeight="1">
      <c r="A4" s="11" t="s">
        <v>366</v>
      </c>
      <c r="C4" s="12"/>
      <c r="D4" s="13"/>
      <c r="E4" s="14"/>
      <c r="F4" s="14"/>
      <c r="G4" s="15"/>
      <c r="H4" s="15"/>
      <c r="I4" s="15"/>
    </row>
    <row r="5" spans="1:19" ht="12" customHeight="1" thickBot="1">
      <c r="G5" s="16"/>
      <c r="H5" s="17" t="str">
        <f>"작성일 : "&amp;TEXT(_xlfn.XLOOKUP(B7,near_miss_excel_view!C:C,near_miss_excel_view!D:D,"없음",0,1),"YY-MM-DD")</f>
        <v>작성일 : 26-04-16</v>
      </c>
      <c r="I5" s="17"/>
    </row>
    <row r="6" spans="1:19" s="26" customFormat="1" ht="18.75" customHeight="1">
      <c r="A6" s="18" t="s">
        <v>367</v>
      </c>
      <c r="B6" s="19" t="s">
        <v>368</v>
      </c>
      <c r="C6" s="20"/>
      <c r="D6" s="21" t="s">
        <v>369</v>
      </c>
      <c r="E6" s="22" t="str">
        <f>_xlfn.XLOOKUP(B7,near_miss_excel_view!C:C,near_miss_excel_view!B:B,"없음",0,1)</f>
        <v>정재호</v>
      </c>
      <c r="F6" s="23"/>
      <c r="G6" s="21" t="s">
        <v>370</v>
      </c>
      <c r="H6" s="22"/>
      <c r="I6" s="24"/>
      <c r="J6" s="25"/>
      <c r="K6" s="25"/>
      <c r="L6" s="25"/>
      <c r="M6" s="25"/>
      <c r="N6" s="25"/>
      <c r="O6" s="25"/>
      <c r="P6" s="25"/>
      <c r="Q6" s="25"/>
      <c r="R6" s="25"/>
      <c r="S6" s="25"/>
    </row>
    <row r="7" spans="1:19" s="26" customFormat="1" ht="18.75" customHeight="1">
      <c r="A7" s="27" t="s">
        <v>371</v>
      </c>
      <c r="B7" s="28" t="s">
        <v>273</v>
      </c>
      <c r="C7" s="29"/>
      <c r="D7" s="29"/>
      <c r="E7" s="29"/>
      <c r="F7" s="29"/>
      <c r="G7" s="29"/>
      <c r="H7" s="29"/>
      <c r="I7" s="30"/>
      <c r="J7" s="25"/>
      <c r="K7" s="25"/>
      <c r="L7" s="25"/>
      <c r="M7" s="25"/>
      <c r="N7" s="25"/>
      <c r="O7" s="25"/>
      <c r="P7" s="25"/>
      <c r="Q7" s="25"/>
      <c r="R7" s="25"/>
      <c r="S7" s="25"/>
    </row>
    <row r="8" spans="1:19" s="26" customFormat="1" ht="4.5" customHeight="1">
      <c r="A8" s="31"/>
      <c r="B8" s="32"/>
      <c r="I8" s="33"/>
      <c r="J8" s="25"/>
      <c r="K8" s="25"/>
      <c r="L8" s="25"/>
      <c r="M8" s="25"/>
      <c r="N8" s="25"/>
      <c r="O8" s="25"/>
      <c r="P8" s="25"/>
      <c r="Q8" s="25"/>
      <c r="R8" s="25"/>
      <c r="S8" s="25"/>
    </row>
    <row r="9" spans="1:19" s="26" customFormat="1" ht="16.5" customHeight="1">
      <c r="A9" s="34" t="s">
        <v>372</v>
      </c>
      <c r="B9" s="35" t="str">
        <f>" 1. 발생 일시 :    "&amp;TEXT(_xlfn.XLOOKUP(B7,near_miss_excel_view!C:C,near_miss_excel_view!D:D,"없음",0,1),"YYYY년 MM월 DD일 hh시 mm분")&amp;" 경"</f>
        <v xml:space="preserve"> 1. 발생 일시 :    2026년 04월 16일 23시 00분 경</v>
      </c>
      <c r="C9" s="36"/>
      <c r="I9" s="33"/>
      <c r="J9" s="25"/>
      <c r="K9" s="25"/>
      <c r="L9" s="25"/>
      <c r="M9" s="25"/>
      <c r="N9" s="25"/>
      <c r="O9" s="25"/>
      <c r="P9" s="25"/>
      <c r="Q9" s="25"/>
      <c r="R9" s="25"/>
      <c r="S9" s="25"/>
    </row>
    <row r="10" spans="1:19" s="26" customFormat="1" ht="16.5" customHeight="1">
      <c r="A10" s="34" t="s">
        <v>373</v>
      </c>
      <c r="B10" s="37" t="str">
        <f>" 2. 발생 장소 :    "&amp;_xlfn.XLOOKUP(B7,near_miss_excel_view!C:C,near_miss_excel_view!E:E,"없음",0,1)</f>
        <v xml:space="preserve"> 2. 발생 장소 :    4호 coal mill probe 위치</v>
      </c>
      <c r="I10" s="33"/>
      <c r="J10" s="25"/>
      <c r="K10" s="25"/>
      <c r="L10" s="25"/>
      <c r="M10" s="25"/>
      <c r="N10" s="25"/>
      <c r="O10" s="25"/>
      <c r="P10" s="25"/>
      <c r="Q10" s="25"/>
      <c r="R10" s="25"/>
      <c r="S10" s="25"/>
    </row>
    <row r="11" spans="1:19" s="26" customFormat="1" ht="16.5" customHeight="1">
      <c r="A11" s="38" t="s">
        <v>374</v>
      </c>
      <c r="B11" s="39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야간에 사다리 이동 중 부딪힘
원인: 조도가 낮은 상태에서 주변 확인을 하지 못함</v>
      </c>
      <c r="C11" s="40"/>
      <c r="D11" s="40"/>
      <c r="E11" s="40"/>
      <c r="F11" s="40"/>
      <c r="G11" s="40"/>
      <c r="H11" s="40"/>
      <c r="I11" s="41"/>
      <c r="J11" s="25"/>
      <c r="K11" s="25"/>
      <c r="L11" s="25"/>
      <c r="M11" s="25"/>
      <c r="N11" s="25"/>
      <c r="O11" s="25"/>
      <c r="P11" s="25"/>
      <c r="Q11" s="25"/>
      <c r="R11" s="25"/>
      <c r="S11" s="25"/>
    </row>
    <row r="12" spans="1:19" s="26" customFormat="1" ht="16.5" customHeight="1">
      <c r="A12" s="42" t="s">
        <v>375</v>
      </c>
      <c r="B12" s="39"/>
      <c r="C12" s="40"/>
      <c r="D12" s="40"/>
      <c r="E12" s="40"/>
      <c r="F12" s="40"/>
      <c r="G12" s="40"/>
      <c r="H12" s="40"/>
      <c r="I12" s="41"/>
      <c r="J12" s="25"/>
      <c r="K12" s="25"/>
      <c r="L12" s="25"/>
      <c r="M12" s="25"/>
      <c r="N12" s="25"/>
      <c r="O12" s="25"/>
      <c r="P12" s="25"/>
      <c r="Q12" s="25"/>
      <c r="R12" s="25"/>
      <c r="S12" s="25"/>
    </row>
    <row r="13" spans="1:19" s="26" customFormat="1" ht="16.5" customHeight="1">
      <c r="A13" s="42"/>
      <c r="B13" s="39"/>
      <c r="C13" s="40"/>
      <c r="D13" s="40"/>
      <c r="E13" s="40"/>
      <c r="F13" s="40"/>
      <c r="G13" s="40"/>
      <c r="H13" s="40"/>
      <c r="I13" s="41"/>
      <c r="J13" s="25"/>
      <c r="K13" s="25"/>
      <c r="L13" s="25"/>
      <c r="M13" s="25"/>
      <c r="N13" s="25"/>
      <c r="O13" s="25"/>
      <c r="P13" s="25"/>
      <c r="Q13" s="25"/>
      <c r="R13" s="25"/>
      <c r="S13" s="25"/>
    </row>
    <row r="14" spans="1:19" s="26" customFormat="1" ht="16.5" customHeight="1">
      <c r="A14" s="42"/>
      <c r="B14" s="39"/>
      <c r="C14" s="40"/>
      <c r="D14" s="40"/>
      <c r="E14" s="40"/>
      <c r="F14" s="40"/>
      <c r="G14" s="40"/>
      <c r="H14" s="40"/>
      <c r="I14" s="41"/>
      <c r="J14" s="25"/>
      <c r="K14" s="25"/>
      <c r="L14" s="25"/>
      <c r="M14" s="25"/>
      <c r="N14" s="25"/>
      <c r="O14" s="25"/>
      <c r="P14" s="25"/>
      <c r="Q14" s="25"/>
      <c r="R14" s="25"/>
      <c r="S14" s="25"/>
    </row>
    <row r="15" spans="1:19" s="26" customFormat="1" ht="16.5" customHeight="1">
      <c r="A15" s="34"/>
      <c r="B15" s="39"/>
      <c r="C15" s="40"/>
      <c r="D15" s="40"/>
      <c r="E15" s="40"/>
      <c r="F15" s="40"/>
      <c r="G15" s="40"/>
      <c r="H15" s="40"/>
      <c r="I15" s="41"/>
      <c r="J15" s="25"/>
      <c r="K15" s="25"/>
      <c r="L15" s="25"/>
      <c r="M15" s="25"/>
      <c r="N15" s="25"/>
      <c r="O15" s="25"/>
      <c r="P15" s="25"/>
      <c r="Q15" s="25"/>
      <c r="R15" s="25"/>
      <c r="S15" s="25"/>
    </row>
    <row r="16" spans="1:19" s="26" customFormat="1" ht="17.45" customHeight="1" thickBot="1">
      <c r="A16" s="34"/>
      <c r="B16" s="39"/>
      <c r="C16" s="40"/>
      <c r="D16" s="40"/>
      <c r="E16" s="40"/>
      <c r="F16" s="40"/>
      <c r="G16" s="40"/>
      <c r="H16" s="40"/>
      <c r="I16" s="41"/>
      <c r="J16" s="25" t="s">
        <v>376</v>
      </c>
      <c r="K16" s="25"/>
      <c r="L16" s="25" t="s">
        <v>377</v>
      </c>
      <c r="M16" s="25"/>
      <c r="N16" s="25" t="s">
        <v>378</v>
      </c>
      <c r="O16" s="25"/>
      <c r="P16" s="25" t="s">
        <v>379</v>
      </c>
      <c r="Q16" s="25"/>
      <c r="R16" s="25" t="s">
        <v>380</v>
      </c>
      <c r="S16" s="25"/>
    </row>
    <row r="17" spans="1:19" s="26" customFormat="1" ht="16.149999999999999" customHeight="1">
      <c r="A17" s="43" t="s">
        <v>381</v>
      </c>
      <c r="B17" s="44"/>
      <c r="C17" s="44"/>
      <c r="D17" s="44"/>
      <c r="E17" s="44"/>
      <c r="F17" s="44"/>
      <c r="G17" s="44"/>
      <c r="H17" s="44"/>
      <c r="I17" s="45"/>
      <c r="J17" s="25" t="str">
        <f>_xlfn.XLOOKUP(B7,near_miss_excel_view!$C:$C,near_miss_excel_view!H:H,"없음",0,1)</f>
        <v>충돌</v>
      </c>
      <c r="K17" s="25"/>
      <c r="L17" s="25" t="str">
        <f>_xlfn.XLOOKUP(B7,near_miss_excel_view!$C:$C,near_miss_excel_view!I:I,"없음",0,1)</f>
        <v>돌출부</v>
      </c>
      <c r="M17" s="25"/>
      <c r="N17" s="25" t="str">
        <f>_xlfn.XLOOKUP(B7,near_miss_excel_view!$C:$C,near_miss_excel_view!J:J,"없음",0,1)</f>
        <v>기타</v>
      </c>
      <c r="O17" s="25"/>
      <c r="P17" s="25" t="str">
        <f>_xlfn.XLOOKUP(B7,near_miss_excel_view!$C:$C,near_miss_excel_view!K:K,"없음",0,1)</f>
        <v>몸의 균형이 불안정해짐</v>
      </c>
      <c r="Q17" s="25"/>
      <c r="R17" s="25" t="str">
        <f>_xlfn.XLOOKUP(B7,near_miss_excel_view!$C:$C,near_miss_excel_view!L:L,"없음",0,1)</f>
        <v>서두름</v>
      </c>
      <c r="S17" s="25"/>
    </row>
    <row r="18" spans="1:19" s="26" customFormat="1" ht="15.75" customHeight="1">
      <c r="A18" s="46" t="s">
        <v>382</v>
      </c>
      <c r="B18" s="47"/>
      <c r="C18" s="48"/>
      <c r="D18" s="49" t="s">
        <v>383</v>
      </c>
      <c r="E18" s="50"/>
      <c r="F18" s="50"/>
      <c r="G18" s="51"/>
      <c r="H18" s="52"/>
      <c r="I18" s="53"/>
      <c r="J18" s="25"/>
      <c r="K18" s="25"/>
      <c r="L18" s="25"/>
      <c r="M18" s="25"/>
      <c r="N18" s="25"/>
      <c r="O18" s="25"/>
      <c r="P18" s="25"/>
      <c r="Q18" s="25"/>
      <c r="R18" s="25"/>
      <c r="S18" s="25"/>
    </row>
    <row r="19" spans="1:19" s="26" customFormat="1" ht="16.149999999999999" customHeight="1">
      <c r="A19" s="54"/>
      <c r="B19" s="55"/>
      <c r="C19" s="56"/>
      <c r="D19" s="57"/>
      <c r="E19" s="58"/>
      <c r="F19" s="58"/>
      <c r="G19" s="58"/>
      <c r="H19" s="58"/>
      <c r="I19" s="59"/>
      <c r="J19" s="25" t="s">
        <v>384</v>
      </c>
      <c r="K19" s="25" t="b">
        <f t="shared" ref="K19:K36" si="0">IF(J19=$J$17,TRUE,FALSE)</f>
        <v>0</v>
      </c>
      <c r="L19" s="25" t="s">
        <v>168</v>
      </c>
      <c r="M19" s="25" t="b">
        <f>IF($L$17=L19,TRUE,FALSE)</f>
        <v>0</v>
      </c>
      <c r="N19" s="25" t="s">
        <v>385</v>
      </c>
      <c r="O19" s="25" t="b">
        <f t="shared" ref="O19:O26" si="1">IF($N$17=N19,TRUE,FALSE)</f>
        <v>0</v>
      </c>
      <c r="P19" s="25" t="s">
        <v>35</v>
      </c>
      <c r="Q19" s="25" t="b">
        <f>IF($P$17=P19,TRUE,FALSE)</f>
        <v>0</v>
      </c>
      <c r="R19" s="25" t="s">
        <v>36</v>
      </c>
      <c r="S19" s="25" t="b">
        <f>IF($R$17=R19,TRUE,FALSE)</f>
        <v>1</v>
      </c>
    </row>
    <row r="20" spans="1:19" s="26" customFormat="1" ht="16.149999999999999" customHeight="1">
      <c r="A20" s="54"/>
      <c r="B20" s="55"/>
      <c r="C20" s="56"/>
      <c r="D20" s="60"/>
      <c r="E20" s="55"/>
      <c r="F20" s="55"/>
      <c r="G20" s="55"/>
      <c r="H20" s="55"/>
      <c r="I20" s="61"/>
      <c r="J20" s="25" t="s">
        <v>32</v>
      </c>
      <c r="K20" s="25" t="b">
        <f t="shared" si="0"/>
        <v>0</v>
      </c>
      <c r="L20" s="25" t="s">
        <v>386</v>
      </c>
      <c r="M20" s="25" t="b">
        <f>IF($L$17=L20,TRUE,FALSE)</f>
        <v>1</v>
      </c>
      <c r="N20" s="25" t="s">
        <v>387</v>
      </c>
      <c r="O20" s="25" t="b">
        <f t="shared" si="1"/>
        <v>0</v>
      </c>
      <c r="P20" s="25" t="s">
        <v>158</v>
      </c>
      <c r="Q20" s="25" t="b">
        <f>IF($P$17=P20,TRUE,FALSE)</f>
        <v>1</v>
      </c>
      <c r="R20" s="25" t="s">
        <v>388</v>
      </c>
      <c r="S20" s="25" t="b">
        <f>IF($R$17=R20,TRUE,FALSE)</f>
        <v>0</v>
      </c>
    </row>
    <row r="21" spans="1:19" s="26" customFormat="1" ht="16.149999999999999" customHeight="1">
      <c r="A21" s="54"/>
      <c r="B21" s="55"/>
      <c r="C21" s="56"/>
      <c r="D21" s="60"/>
      <c r="E21" s="55"/>
      <c r="F21" s="55"/>
      <c r="G21" s="55"/>
      <c r="H21" s="55"/>
      <c r="I21" s="61"/>
      <c r="J21" s="25" t="s">
        <v>389</v>
      </c>
      <c r="K21" s="25" t="b">
        <f t="shared" si="0"/>
        <v>1</v>
      </c>
      <c r="L21" s="25" t="s">
        <v>390</v>
      </c>
      <c r="M21" s="25" t="b">
        <f>IF($L$17=L21,TRUE,FALSE)</f>
        <v>0</v>
      </c>
      <c r="N21" s="25" t="s">
        <v>391</v>
      </c>
      <c r="O21" s="25" t="b">
        <f t="shared" si="1"/>
        <v>0</v>
      </c>
      <c r="P21" s="25" t="s">
        <v>169</v>
      </c>
      <c r="Q21" s="25" t="b">
        <f>IF($P$17=P21,TRUE,FALSE)</f>
        <v>0</v>
      </c>
      <c r="R21" s="25" t="s">
        <v>392</v>
      </c>
      <c r="S21" s="25" t="b">
        <f>IF($R$17=R21,TRUE,FALSE)</f>
        <v>0</v>
      </c>
    </row>
    <row r="22" spans="1:19" s="26" customFormat="1" ht="16.149999999999999" customHeight="1">
      <c r="A22" s="54"/>
      <c r="B22" s="55"/>
      <c r="C22" s="56"/>
      <c r="D22" s="60"/>
      <c r="E22" s="55"/>
      <c r="F22" s="55"/>
      <c r="G22" s="55"/>
      <c r="H22" s="55"/>
      <c r="I22" s="61"/>
      <c r="J22" s="25" t="s">
        <v>393</v>
      </c>
      <c r="K22" s="25" t="b">
        <f t="shared" si="0"/>
        <v>0</v>
      </c>
      <c r="L22" s="25" t="s">
        <v>394</v>
      </c>
      <c r="M22" s="25" t="b">
        <f t="shared" ref="M22:M36" si="2">IF($L$17=L22,TRUE,FALSE)</f>
        <v>0</v>
      </c>
      <c r="N22" s="25" t="s">
        <v>395</v>
      </c>
      <c r="O22" s="25" t="b">
        <f t="shared" si="1"/>
        <v>0</v>
      </c>
      <c r="P22" s="25" t="s">
        <v>234</v>
      </c>
      <c r="Q22" s="25" t="b">
        <f>IF($P$17=P22,TRUE,FALSE)</f>
        <v>0</v>
      </c>
      <c r="R22" s="25" t="s">
        <v>396</v>
      </c>
      <c r="S22" s="25" t="b">
        <f>IF($R$17=R22,TRUE,FALSE)</f>
        <v>0</v>
      </c>
    </row>
    <row r="23" spans="1:19" s="26" customFormat="1" ht="16.149999999999999" customHeight="1">
      <c r="A23" s="54"/>
      <c r="B23" s="55"/>
      <c r="C23" s="56"/>
      <c r="D23" s="60"/>
      <c r="E23" s="55"/>
      <c r="F23" s="55"/>
      <c r="G23" s="55"/>
      <c r="H23" s="55"/>
      <c r="I23" s="61"/>
      <c r="J23" s="25" t="s">
        <v>397</v>
      </c>
      <c r="K23" s="25" t="b">
        <f t="shared" si="0"/>
        <v>0</v>
      </c>
      <c r="L23" s="25" t="s">
        <v>398</v>
      </c>
      <c r="M23" s="25" t="b">
        <f t="shared" si="2"/>
        <v>0</v>
      </c>
      <c r="N23" s="25" t="s">
        <v>399</v>
      </c>
      <c r="O23" s="25" t="b">
        <f t="shared" si="1"/>
        <v>0</v>
      </c>
      <c r="P23" s="25"/>
      <c r="Q23" s="25"/>
      <c r="R23" s="25"/>
      <c r="S23" s="25"/>
    </row>
    <row r="24" spans="1:19" s="26" customFormat="1" ht="16.149999999999999" customHeight="1">
      <c r="A24" s="54"/>
      <c r="B24" s="55"/>
      <c r="C24" s="56"/>
      <c r="D24" s="60"/>
      <c r="E24" s="55"/>
      <c r="F24" s="55"/>
      <c r="G24" s="55"/>
      <c r="H24" s="55"/>
      <c r="I24" s="61"/>
      <c r="J24" s="25" t="s">
        <v>400</v>
      </c>
      <c r="K24" s="25" t="b">
        <f t="shared" si="0"/>
        <v>0</v>
      </c>
      <c r="L24" s="25" t="s">
        <v>401</v>
      </c>
      <c r="M24" s="25" t="b">
        <f t="shared" si="2"/>
        <v>0</v>
      </c>
      <c r="N24" s="25" t="s">
        <v>233</v>
      </c>
      <c r="O24" s="25" t="b">
        <f t="shared" si="1"/>
        <v>0</v>
      </c>
      <c r="P24" s="25"/>
      <c r="Q24" s="25"/>
      <c r="R24" s="25"/>
      <c r="S24" s="25"/>
    </row>
    <row r="25" spans="1:19" s="26" customFormat="1" ht="16.149999999999999" customHeight="1">
      <c r="A25" s="54"/>
      <c r="B25" s="55"/>
      <c r="C25" s="56"/>
      <c r="D25" s="60"/>
      <c r="E25" s="55"/>
      <c r="F25" s="55"/>
      <c r="G25" s="55"/>
      <c r="H25" s="55"/>
      <c r="I25" s="61"/>
      <c r="J25" s="25" t="s">
        <v>402</v>
      </c>
      <c r="K25" s="25" t="b">
        <f t="shared" si="0"/>
        <v>0</v>
      </c>
      <c r="L25" s="25" t="s">
        <v>403</v>
      </c>
      <c r="M25" s="25" t="b">
        <f t="shared" si="2"/>
        <v>0</v>
      </c>
      <c r="N25" s="25" t="s">
        <v>239</v>
      </c>
      <c r="O25" s="25" t="b">
        <f t="shared" si="1"/>
        <v>0</v>
      </c>
      <c r="P25" s="25"/>
      <c r="Q25" s="25"/>
      <c r="R25" s="25"/>
      <c r="S25" s="25"/>
    </row>
    <row r="26" spans="1:19" s="26" customFormat="1" ht="16.149999999999999" customHeight="1">
      <c r="A26" s="54"/>
      <c r="B26" s="55"/>
      <c r="C26" s="56"/>
      <c r="D26" s="62"/>
      <c r="E26" s="63"/>
      <c r="F26" s="63"/>
      <c r="G26" s="63"/>
      <c r="H26" s="63"/>
      <c r="I26" s="64"/>
      <c r="J26" s="25" t="s">
        <v>232</v>
      </c>
      <c r="K26" s="25" t="b">
        <f t="shared" si="0"/>
        <v>0</v>
      </c>
      <c r="L26" s="25" t="s">
        <v>33</v>
      </c>
      <c r="M26" s="25" t="b">
        <f t="shared" si="2"/>
        <v>0</v>
      </c>
      <c r="N26" s="25" t="s">
        <v>34</v>
      </c>
      <c r="O26" s="25" t="b">
        <f t="shared" si="1"/>
        <v>1</v>
      </c>
      <c r="P26" s="25"/>
      <c r="Q26" s="25"/>
      <c r="R26" s="25"/>
      <c r="S26" s="25"/>
    </row>
    <row r="27" spans="1:19" s="26" customFormat="1" ht="15.75" customHeight="1">
      <c r="A27" s="54"/>
      <c r="B27" s="55"/>
      <c r="C27" s="56"/>
      <c r="D27" s="65" t="s">
        <v>404</v>
      </c>
      <c r="E27" s="66"/>
      <c r="F27" s="66"/>
      <c r="G27" s="67"/>
      <c r="H27" s="68"/>
      <c r="I27" s="69"/>
      <c r="J27" s="25" t="s">
        <v>405</v>
      </c>
      <c r="K27" s="25" t="b">
        <f t="shared" si="0"/>
        <v>0</v>
      </c>
      <c r="L27" s="25" t="s">
        <v>406</v>
      </c>
      <c r="M27" s="25" t="b">
        <f t="shared" si="2"/>
        <v>0</v>
      </c>
      <c r="N27" s="25"/>
      <c r="O27" s="25"/>
      <c r="P27" s="25"/>
      <c r="Q27" s="25"/>
      <c r="R27" s="25"/>
      <c r="S27" s="25"/>
    </row>
    <row r="28" spans="1:19" s="26" customFormat="1" ht="16.5" customHeight="1">
      <c r="A28" s="54"/>
      <c r="B28" s="55"/>
      <c r="C28" s="56"/>
      <c r="D28" s="70"/>
      <c r="E28" s="71"/>
      <c r="F28" s="71"/>
      <c r="G28" s="71"/>
      <c r="H28" s="71"/>
      <c r="I28" s="72"/>
      <c r="J28" s="25" t="s">
        <v>407</v>
      </c>
      <c r="K28" s="25" t="b">
        <f t="shared" si="0"/>
        <v>0</v>
      </c>
      <c r="L28" s="25" t="s">
        <v>408</v>
      </c>
      <c r="M28" s="25" t="b">
        <f t="shared" si="2"/>
        <v>0</v>
      </c>
      <c r="N28" s="25"/>
      <c r="O28" s="25"/>
      <c r="P28" s="25"/>
      <c r="Q28" s="25"/>
      <c r="R28" s="25"/>
      <c r="S28" s="25"/>
    </row>
    <row r="29" spans="1:19" s="26" customFormat="1" ht="16.5" customHeight="1">
      <c r="A29" s="54"/>
      <c r="B29" s="55"/>
      <c r="C29" s="56"/>
      <c r="D29" s="73"/>
      <c r="E29" s="74"/>
      <c r="F29" s="74"/>
      <c r="G29" s="74"/>
      <c r="H29" s="74"/>
      <c r="I29" s="75"/>
      <c r="J29" s="25" t="s">
        <v>34</v>
      </c>
      <c r="K29" s="25" t="b">
        <f t="shared" si="0"/>
        <v>0</v>
      </c>
      <c r="L29" s="25" t="s">
        <v>34</v>
      </c>
      <c r="M29" s="25" t="b">
        <f t="shared" si="2"/>
        <v>0</v>
      </c>
      <c r="N29" s="25"/>
      <c r="O29" s="25"/>
      <c r="P29" s="25"/>
      <c r="Q29" s="25"/>
      <c r="R29" s="25"/>
      <c r="S29" s="25"/>
    </row>
    <row r="30" spans="1:19" s="26" customFormat="1" ht="16.5" customHeight="1">
      <c r="A30" s="54"/>
      <c r="B30" s="55"/>
      <c r="C30" s="56"/>
      <c r="D30" s="73"/>
      <c r="E30" s="74"/>
      <c r="F30" s="74"/>
      <c r="G30" s="74"/>
      <c r="H30" s="74"/>
      <c r="I30" s="75"/>
      <c r="J30" s="25" t="s">
        <v>409</v>
      </c>
      <c r="K30" s="25" t="b">
        <f t="shared" si="0"/>
        <v>0</v>
      </c>
      <c r="L30" s="25" t="s">
        <v>410</v>
      </c>
      <c r="M30" s="25" t="b">
        <f t="shared" si="2"/>
        <v>0</v>
      </c>
      <c r="N30" s="25"/>
      <c r="O30" s="25"/>
      <c r="P30" s="25"/>
      <c r="Q30" s="25"/>
      <c r="R30" s="25"/>
      <c r="S30" s="25"/>
    </row>
    <row r="31" spans="1:19" s="26" customFormat="1" ht="16.5" customHeight="1">
      <c r="A31" s="54"/>
      <c r="B31" s="55"/>
      <c r="C31" s="56"/>
      <c r="D31" s="73"/>
      <c r="E31" s="74"/>
      <c r="F31" s="74"/>
      <c r="G31" s="74"/>
      <c r="H31" s="74"/>
      <c r="I31" s="75"/>
      <c r="J31" s="25" t="s">
        <v>411</v>
      </c>
      <c r="K31" s="25" t="b">
        <f t="shared" si="0"/>
        <v>0</v>
      </c>
      <c r="L31" s="25" t="s">
        <v>412</v>
      </c>
      <c r="M31" s="25" t="b">
        <f t="shared" si="2"/>
        <v>0</v>
      </c>
      <c r="N31" s="25"/>
      <c r="O31" s="25"/>
      <c r="P31" s="25"/>
      <c r="Q31" s="25"/>
      <c r="R31" s="25"/>
      <c r="S31" s="25"/>
    </row>
    <row r="32" spans="1:19" s="26" customFormat="1" ht="16.5" customHeight="1">
      <c r="A32" s="54"/>
      <c r="B32" s="55"/>
      <c r="C32" s="56"/>
      <c r="D32" s="73"/>
      <c r="E32" s="74"/>
      <c r="F32" s="74"/>
      <c r="G32" s="74"/>
      <c r="H32" s="74"/>
      <c r="I32" s="75"/>
      <c r="J32" s="25" t="s">
        <v>413</v>
      </c>
      <c r="K32" s="25" t="b">
        <f t="shared" si="0"/>
        <v>0</v>
      </c>
      <c r="L32" s="25" t="s">
        <v>414</v>
      </c>
      <c r="M32" s="25" t="b">
        <f t="shared" si="2"/>
        <v>0</v>
      </c>
      <c r="N32" s="25"/>
      <c r="O32" s="25"/>
      <c r="P32" s="25"/>
      <c r="Q32" s="25"/>
      <c r="R32" s="25"/>
      <c r="S32" s="25"/>
    </row>
    <row r="33" spans="1:19" s="26" customFormat="1" ht="16.5" customHeight="1">
      <c r="A33" s="54"/>
      <c r="B33" s="55"/>
      <c r="C33" s="56"/>
      <c r="D33" s="73"/>
      <c r="E33" s="74"/>
      <c r="F33" s="74"/>
      <c r="G33" s="74"/>
      <c r="H33" s="74"/>
      <c r="I33" s="75"/>
      <c r="J33" s="25" t="s">
        <v>415</v>
      </c>
      <c r="K33" s="25" t="b">
        <f t="shared" si="0"/>
        <v>0</v>
      </c>
      <c r="L33" s="25" t="s">
        <v>240</v>
      </c>
      <c r="M33" s="25" t="b">
        <f t="shared" si="2"/>
        <v>0</v>
      </c>
      <c r="N33" s="25"/>
      <c r="O33" s="25"/>
      <c r="P33" s="25"/>
      <c r="Q33" s="25"/>
      <c r="R33" s="25"/>
      <c r="S33" s="25"/>
    </row>
    <row r="34" spans="1:19" s="26" customFormat="1" ht="16.5" customHeight="1" thickBot="1">
      <c r="A34" s="76"/>
      <c r="B34" s="77"/>
      <c r="C34" s="78"/>
      <c r="D34" s="79"/>
      <c r="E34" s="80"/>
      <c r="F34" s="80"/>
      <c r="G34" s="80"/>
      <c r="H34" s="80"/>
      <c r="I34" s="81"/>
      <c r="J34" s="25" t="s">
        <v>416</v>
      </c>
      <c r="K34" s="25" t="b">
        <f t="shared" si="0"/>
        <v>0</v>
      </c>
      <c r="L34" s="25" t="s">
        <v>417</v>
      </c>
      <c r="M34" s="25" t="b">
        <f t="shared" si="2"/>
        <v>0</v>
      </c>
      <c r="N34" s="25"/>
      <c r="O34" s="25"/>
      <c r="P34" s="25"/>
      <c r="Q34" s="25"/>
      <c r="R34" s="25"/>
      <c r="S34" s="25"/>
    </row>
    <row r="35" spans="1:19" s="26" customFormat="1" ht="16.5" customHeight="1">
      <c r="A35" s="82" t="s">
        <v>418</v>
      </c>
      <c r="B35" s="83" t="s">
        <v>419</v>
      </c>
      <c r="C35" s="84"/>
      <c r="D35" s="84"/>
      <c r="E35" s="84"/>
      <c r="F35" s="84"/>
      <c r="G35" s="84"/>
      <c r="H35" s="85"/>
      <c r="I35" s="33"/>
      <c r="J35" s="25" t="s">
        <v>420</v>
      </c>
      <c r="K35" s="25" t="b">
        <f t="shared" si="0"/>
        <v>0</v>
      </c>
      <c r="L35" s="25" t="s">
        <v>421</v>
      </c>
      <c r="M35" s="25" t="b">
        <f t="shared" si="2"/>
        <v>0</v>
      </c>
      <c r="N35" s="25"/>
      <c r="O35" s="25"/>
      <c r="P35" s="25"/>
      <c r="Q35" s="25"/>
      <c r="R35" s="25"/>
      <c r="S35" s="25"/>
    </row>
    <row r="36" spans="1:19" s="26" customFormat="1" ht="16.5" customHeight="1">
      <c r="A36" s="82" t="s">
        <v>422</v>
      </c>
      <c r="B36" s="86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야간작업중 사다리 이동 시 해드랜턴 항시 켜놓은 후 돌출부 확인 및 접지 부 확인 철저</v>
      </c>
      <c r="C36" s="87"/>
      <c r="D36" s="87"/>
      <c r="E36" s="87"/>
      <c r="F36" s="87"/>
      <c r="G36" s="87"/>
      <c r="H36" s="87"/>
      <c r="I36" s="88"/>
      <c r="J36" s="25" t="s">
        <v>423</v>
      </c>
      <c r="K36" s="25" t="b">
        <f t="shared" si="0"/>
        <v>0</v>
      </c>
      <c r="L36" s="25" t="s">
        <v>424</v>
      </c>
      <c r="M36" s="25" t="b">
        <f t="shared" si="2"/>
        <v>0</v>
      </c>
      <c r="N36" s="25"/>
      <c r="O36" s="25"/>
      <c r="P36" s="25"/>
      <c r="Q36" s="25"/>
      <c r="R36" s="25"/>
      <c r="S36" s="25"/>
    </row>
    <row r="37" spans="1:19" s="26" customFormat="1" ht="27.75" customHeight="1">
      <c r="A37" s="82" t="s">
        <v>425</v>
      </c>
      <c r="B37" s="86"/>
      <c r="C37" s="87"/>
      <c r="D37" s="87"/>
      <c r="E37" s="87"/>
      <c r="F37" s="87"/>
      <c r="G37" s="87"/>
      <c r="H37" s="87"/>
      <c r="I37" s="88"/>
      <c r="J37" s="25"/>
      <c r="K37" s="25"/>
      <c r="L37" s="25"/>
      <c r="M37" s="25"/>
      <c r="N37" s="25"/>
      <c r="O37" s="25"/>
      <c r="P37" s="25"/>
      <c r="Q37" s="25"/>
      <c r="R37" s="25"/>
      <c r="S37" s="25"/>
    </row>
    <row r="38" spans="1:19" s="26" customFormat="1" ht="16.5" customHeight="1" thickBot="1">
      <c r="A38" s="89"/>
      <c r="B38" s="90"/>
      <c r="C38" s="91"/>
      <c r="D38" s="91"/>
      <c r="E38" s="91"/>
      <c r="F38" s="91"/>
      <c r="G38" s="91"/>
      <c r="H38" s="91"/>
      <c r="I38" s="92"/>
      <c r="J38" s="25"/>
      <c r="K38" s="25"/>
      <c r="L38" s="25"/>
      <c r="M38" s="25"/>
      <c r="N38" s="25"/>
      <c r="O38" s="25"/>
      <c r="P38" s="25"/>
      <c r="Q38" s="25"/>
      <c r="R38" s="25"/>
      <c r="S38" s="25"/>
    </row>
    <row r="39" spans="1:19" s="26" customFormat="1" ht="18.75" customHeight="1" thickBot="1">
      <c r="A39" s="93" t="s">
        <v>426</v>
      </c>
      <c r="B39" s="94"/>
      <c r="C39" s="94"/>
      <c r="D39" s="94"/>
      <c r="E39" s="94"/>
      <c r="F39" s="94"/>
      <c r="G39" s="94"/>
      <c r="H39" s="94"/>
      <c r="I39" s="95"/>
      <c r="J39" s="25"/>
      <c r="K39" s="25"/>
      <c r="L39" s="25"/>
      <c r="M39" s="25"/>
      <c r="N39" s="25"/>
      <c r="O39" s="25"/>
      <c r="P39" s="25"/>
      <c r="Q39" s="25"/>
      <c r="R39" s="25"/>
      <c r="S39" s="25"/>
    </row>
    <row r="40" spans="1:19" s="26" customFormat="1" ht="18" thickTop="1">
      <c r="A40" s="82" t="s">
        <v>427</v>
      </c>
      <c r="B40" s="83" t="s">
        <v>428</v>
      </c>
      <c r="C40" s="84"/>
      <c r="D40" s="84"/>
      <c r="E40" s="84"/>
      <c r="F40" s="84"/>
      <c r="G40" s="84"/>
      <c r="H40" s="85"/>
      <c r="I40" s="33"/>
      <c r="J40" s="25"/>
      <c r="K40" s="25"/>
      <c r="L40" s="25"/>
      <c r="M40" s="25"/>
      <c r="N40" s="25"/>
      <c r="O40" s="25"/>
      <c r="P40" s="25"/>
      <c r="Q40" s="25"/>
      <c r="R40" s="25"/>
      <c r="S40" s="25"/>
    </row>
    <row r="41" spans="1:19" s="26" customFormat="1">
      <c r="A41" s="96" t="s">
        <v>429</v>
      </c>
      <c r="B41" s="97"/>
      <c r="C41" s="98"/>
      <c r="D41" s="98"/>
      <c r="E41" s="98"/>
      <c r="F41" s="98"/>
      <c r="G41" s="98"/>
      <c r="H41" s="98"/>
      <c r="I41" s="99"/>
      <c r="J41" s="25"/>
      <c r="K41" s="25"/>
      <c r="L41" s="25"/>
      <c r="M41" s="25"/>
      <c r="N41" s="25"/>
      <c r="O41" s="25"/>
      <c r="P41" s="25"/>
      <c r="Q41" s="25"/>
      <c r="R41" s="25"/>
      <c r="S41" s="25"/>
    </row>
    <row r="42" spans="1:19" s="26" customFormat="1" ht="27.75" customHeight="1">
      <c r="A42" s="96" t="s">
        <v>430</v>
      </c>
      <c r="B42" s="97"/>
      <c r="C42" s="98"/>
      <c r="D42" s="98"/>
      <c r="E42" s="98"/>
      <c r="F42" s="98"/>
      <c r="G42" s="98"/>
      <c r="H42" s="98"/>
      <c r="I42" s="99"/>
      <c r="J42" s="25"/>
      <c r="K42" s="25"/>
      <c r="L42" s="25"/>
      <c r="M42" s="25"/>
      <c r="N42" s="25"/>
      <c r="O42" s="25"/>
      <c r="P42" s="25"/>
      <c r="Q42" s="25"/>
      <c r="R42" s="25"/>
      <c r="S42" s="25"/>
    </row>
    <row r="43" spans="1:19" s="26" customFormat="1" ht="18" thickBot="1">
      <c r="A43" s="100"/>
      <c r="B43" s="101"/>
      <c r="C43" s="102"/>
      <c r="D43" s="102"/>
      <c r="E43" s="102"/>
      <c r="F43" s="102"/>
      <c r="G43" s="102"/>
      <c r="H43" s="102"/>
      <c r="I43" s="103"/>
      <c r="J43" s="25"/>
      <c r="K43" s="25"/>
      <c r="L43" s="25"/>
      <c r="M43" s="25"/>
      <c r="N43" s="25"/>
      <c r="O43" s="25"/>
      <c r="P43" s="25"/>
      <c r="Q43" s="25"/>
      <c r="R43" s="25"/>
      <c r="S43" s="25"/>
    </row>
    <row r="44" spans="1:19" s="26" customFormat="1" ht="17.25" customHeight="1" thickBot="1">
      <c r="A44" s="104" t="s">
        <v>431</v>
      </c>
      <c r="B44" s="105" t="s">
        <v>432</v>
      </c>
      <c r="C44" s="106" t="s">
        <v>433</v>
      </c>
      <c r="D44" s="107"/>
      <c r="E44" s="108"/>
      <c r="F44" s="109" t="s">
        <v>434</v>
      </c>
      <c r="G44" s="110"/>
      <c r="H44" s="110"/>
      <c r="I44" s="111"/>
      <c r="J44" s="25"/>
      <c r="K44" s="25"/>
      <c r="L44" s="25"/>
      <c r="M44" s="25"/>
      <c r="N44" s="25"/>
      <c r="O44" s="25"/>
      <c r="P44" s="25"/>
      <c r="Q44" s="25"/>
      <c r="R44" s="25"/>
      <c r="S44" s="25"/>
    </row>
    <row r="45" spans="1:19" s="26" customFormat="1" ht="18.75" customHeight="1" thickBot="1">
      <c r="A45" s="93" t="s">
        <v>435</v>
      </c>
      <c r="B45" s="94"/>
      <c r="C45" s="94"/>
      <c r="D45" s="94"/>
      <c r="E45" s="94"/>
      <c r="F45" s="94"/>
      <c r="G45" s="94"/>
      <c r="H45" s="94"/>
      <c r="I45" s="95"/>
      <c r="J45" s="25"/>
      <c r="K45" s="25"/>
      <c r="L45" s="25"/>
      <c r="M45" s="25"/>
      <c r="N45" s="25"/>
      <c r="O45" s="25"/>
      <c r="P45" s="25"/>
      <c r="Q45" s="25"/>
      <c r="R45" s="25"/>
      <c r="S45" s="25"/>
    </row>
    <row r="46" spans="1:19" s="26" customFormat="1" ht="17.25" customHeight="1" thickTop="1" thickBot="1">
      <c r="A46" s="112" t="s">
        <v>436</v>
      </c>
      <c r="B46" s="113" t="s">
        <v>437</v>
      </c>
      <c r="C46" s="114" t="s">
        <v>433</v>
      </c>
      <c r="D46" s="115"/>
      <c r="E46" s="116"/>
      <c r="F46" s="117"/>
      <c r="G46" s="118"/>
      <c r="H46" s="118"/>
      <c r="I46" s="119"/>
      <c r="J46" s="25"/>
      <c r="K46" s="25"/>
      <c r="L46" s="25"/>
      <c r="M46" s="25"/>
      <c r="N46" s="25"/>
      <c r="O46" s="25"/>
      <c r="P46" s="25"/>
      <c r="Q46" s="25"/>
      <c r="R46" s="25"/>
      <c r="S46" s="25"/>
    </row>
    <row r="47" spans="1:19" s="26" customFormat="1" ht="18.75" thickTop="1" thickBot="1">
      <c r="A47" s="120" t="s">
        <v>438</v>
      </c>
      <c r="B47" s="121"/>
      <c r="C47" s="121"/>
      <c r="D47" s="121"/>
      <c r="E47" s="121"/>
      <c r="F47" s="121"/>
      <c r="G47" s="121"/>
      <c r="H47" s="121"/>
      <c r="I47" s="122"/>
      <c r="J47" s="25"/>
      <c r="K47" s="25"/>
      <c r="L47" s="25"/>
      <c r="M47" s="25"/>
      <c r="N47" s="25"/>
      <c r="O47" s="25"/>
      <c r="P47" s="25"/>
      <c r="Q47" s="25"/>
      <c r="R47" s="25"/>
      <c r="S47" s="25"/>
    </row>
    <row r="48" spans="1:19">
      <c r="A48" s="123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1:H2"/>
    <mergeCell ref="H5:I5"/>
    <mergeCell ref="B6:C6"/>
    <mergeCell ref="E6:F6"/>
    <mergeCell ref="H6:I6"/>
    <mergeCell ref="B7:I7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4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69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0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1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114300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2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3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38100</xdr:rowOff>
                  </from>
                  <to>
                    <xdr:col>4</xdr:col>
                    <xdr:colOff>400050</xdr:colOff>
                    <xdr:row>32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4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5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180975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6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190500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7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8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9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0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38100</xdr:rowOff>
                  </from>
                  <to>
                    <xdr:col>9</xdr:col>
                    <xdr:colOff>28575</xdr:colOff>
                    <xdr:row>30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1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2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3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4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5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18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6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7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8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9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0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1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2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3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4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5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6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7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8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9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0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514350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1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2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209550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3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171450</xdr:rowOff>
                  </from>
                  <to>
                    <xdr:col>1</xdr:col>
                    <xdr:colOff>695325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4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5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6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7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8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9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133350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10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142875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11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590550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12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171450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13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14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15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16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17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18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133350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19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142875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20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A1AFD2-4BBA-4385-9F65-7494235BC5B9}">
          <x14:formula1>
            <xm:f>near_miss_excel_view!$C:$C</xm:f>
          </x14:formula1>
          <xm:sqref>B7:I7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BFD0D-102D-44F6-9C48-A91D941E7CDD}">
  <sheetPr>
    <tabColor rgb="FFFFFF00"/>
    <pageSetUpPr fitToPage="1"/>
  </sheetPr>
  <dimension ref="A1:S48"/>
  <sheetViews>
    <sheetView showGridLines="0" view="pageBreakPreview" topLeftCell="A6" zoomScale="115" zoomScaleNormal="100" zoomScaleSheetLayoutView="115" workbookViewId="0">
      <selection activeCell="O23" sqref="O23"/>
    </sheetView>
  </sheetViews>
  <sheetFormatPr defaultColWidth="9" defaultRowHeight="17.25"/>
  <cols>
    <col min="1" max="1" width="21.375" style="9" customWidth="1"/>
    <col min="2" max="2" width="11.125" style="9" customWidth="1"/>
    <col min="3" max="3" width="8.625" style="9" customWidth="1"/>
    <col min="4" max="4" width="9" style="9"/>
    <col min="5" max="6" width="8" style="9" customWidth="1"/>
    <col min="7" max="7" width="8.875" style="9" bestFit="1" customWidth="1"/>
    <col min="8" max="8" width="11.25" style="9" customWidth="1"/>
    <col min="9" max="9" width="10.75" style="9" customWidth="1"/>
    <col min="10" max="10" width="10.625" style="10" customWidth="1"/>
    <col min="11" max="11" width="5.25" style="10" customWidth="1"/>
    <col min="12" max="12" width="10.625" style="10" customWidth="1"/>
    <col min="13" max="13" width="5.25" style="10" customWidth="1"/>
    <col min="14" max="14" width="10.625" style="10" customWidth="1"/>
    <col min="15" max="15" width="5.25" style="10" customWidth="1"/>
    <col min="16" max="16" width="15.375" style="10" customWidth="1"/>
    <col min="17" max="17" width="5.25" style="10" customWidth="1"/>
    <col min="18" max="18" width="9" style="10"/>
    <col min="19" max="19" width="5.75" style="10" customWidth="1"/>
    <col min="20" max="256" width="9" style="9"/>
    <col min="257" max="257" width="21.375" style="9" customWidth="1"/>
    <col min="258" max="258" width="11.125" style="9" customWidth="1"/>
    <col min="259" max="259" width="10.75" style="9" customWidth="1"/>
    <col min="260" max="260" width="9" style="9"/>
    <col min="261" max="262" width="8" style="9" customWidth="1"/>
    <col min="263" max="263" width="8.875" style="9" bestFit="1" customWidth="1"/>
    <col min="264" max="265" width="11.25" style="9" customWidth="1"/>
    <col min="266" max="512" width="9" style="9"/>
    <col min="513" max="513" width="21.375" style="9" customWidth="1"/>
    <col min="514" max="514" width="11.125" style="9" customWidth="1"/>
    <col min="515" max="515" width="10.75" style="9" customWidth="1"/>
    <col min="516" max="516" width="9" style="9"/>
    <col min="517" max="518" width="8" style="9" customWidth="1"/>
    <col min="519" max="519" width="8.875" style="9" bestFit="1" customWidth="1"/>
    <col min="520" max="521" width="11.25" style="9" customWidth="1"/>
    <col min="522" max="768" width="9" style="9"/>
    <col min="769" max="769" width="21.375" style="9" customWidth="1"/>
    <col min="770" max="770" width="11.125" style="9" customWidth="1"/>
    <col min="771" max="771" width="10.75" style="9" customWidth="1"/>
    <col min="772" max="772" width="9" style="9"/>
    <col min="773" max="774" width="8" style="9" customWidth="1"/>
    <col min="775" max="775" width="8.875" style="9" bestFit="1" customWidth="1"/>
    <col min="776" max="777" width="11.25" style="9" customWidth="1"/>
    <col min="778" max="1024" width="9" style="9"/>
    <col min="1025" max="1025" width="21.375" style="9" customWidth="1"/>
    <col min="1026" max="1026" width="11.125" style="9" customWidth="1"/>
    <col min="1027" max="1027" width="10.75" style="9" customWidth="1"/>
    <col min="1028" max="1028" width="9" style="9"/>
    <col min="1029" max="1030" width="8" style="9" customWidth="1"/>
    <col min="1031" max="1031" width="8.875" style="9" bestFit="1" customWidth="1"/>
    <col min="1032" max="1033" width="11.25" style="9" customWidth="1"/>
    <col min="1034" max="1280" width="9" style="9"/>
    <col min="1281" max="1281" width="21.375" style="9" customWidth="1"/>
    <col min="1282" max="1282" width="11.125" style="9" customWidth="1"/>
    <col min="1283" max="1283" width="10.75" style="9" customWidth="1"/>
    <col min="1284" max="1284" width="9" style="9"/>
    <col min="1285" max="1286" width="8" style="9" customWidth="1"/>
    <col min="1287" max="1287" width="8.875" style="9" bestFit="1" customWidth="1"/>
    <col min="1288" max="1289" width="11.25" style="9" customWidth="1"/>
    <col min="1290" max="1536" width="9" style="9"/>
    <col min="1537" max="1537" width="21.375" style="9" customWidth="1"/>
    <col min="1538" max="1538" width="11.125" style="9" customWidth="1"/>
    <col min="1539" max="1539" width="10.75" style="9" customWidth="1"/>
    <col min="1540" max="1540" width="9" style="9"/>
    <col min="1541" max="1542" width="8" style="9" customWidth="1"/>
    <col min="1543" max="1543" width="8.875" style="9" bestFit="1" customWidth="1"/>
    <col min="1544" max="1545" width="11.25" style="9" customWidth="1"/>
    <col min="1546" max="1792" width="9" style="9"/>
    <col min="1793" max="1793" width="21.375" style="9" customWidth="1"/>
    <col min="1794" max="1794" width="11.125" style="9" customWidth="1"/>
    <col min="1795" max="1795" width="10.75" style="9" customWidth="1"/>
    <col min="1796" max="1796" width="9" style="9"/>
    <col min="1797" max="1798" width="8" style="9" customWidth="1"/>
    <col min="1799" max="1799" width="8.875" style="9" bestFit="1" customWidth="1"/>
    <col min="1800" max="1801" width="11.25" style="9" customWidth="1"/>
    <col min="1802" max="2048" width="9" style="9"/>
    <col min="2049" max="2049" width="21.375" style="9" customWidth="1"/>
    <col min="2050" max="2050" width="11.125" style="9" customWidth="1"/>
    <col min="2051" max="2051" width="10.75" style="9" customWidth="1"/>
    <col min="2052" max="2052" width="9" style="9"/>
    <col min="2053" max="2054" width="8" style="9" customWidth="1"/>
    <col min="2055" max="2055" width="8.875" style="9" bestFit="1" customWidth="1"/>
    <col min="2056" max="2057" width="11.25" style="9" customWidth="1"/>
    <col min="2058" max="2304" width="9" style="9"/>
    <col min="2305" max="2305" width="21.375" style="9" customWidth="1"/>
    <col min="2306" max="2306" width="11.125" style="9" customWidth="1"/>
    <col min="2307" max="2307" width="10.75" style="9" customWidth="1"/>
    <col min="2308" max="2308" width="9" style="9"/>
    <col min="2309" max="2310" width="8" style="9" customWidth="1"/>
    <col min="2311" max="2311" width="8.875" style="9" bestFit="1" customWidth="1"/>
    <col min="2312" max="2313" width="11.25" style="9" customWidth="1"/>
    <col min="2314" max="2560" width="9" style="9"/>
    <col min="2561" max="2561" width="21.375" style="9" customWidth="1"/>
    <col min="2562" max="2562" width="11.125" style="9" customWidth="1"/>
    <col min="2563" max="2563" width="10.75" style="9" customWidth="1"/>
    <col min="2564" max="2564" width="9" style="9"/>
    <col min="2565" max="2566" width="8" style="9" customWidth="1"/>
    <col min="2567" max="2567" width="8.875" style="9" bestFit="1" customWidth="1"/>
    <col min="2568" max="2569" width="11.25" style="9" customWidth="1"/>
    <col min="2570" max="2816" width="9" style="9"/>
    <col min="2817" max="2817" width="21.375" style="9" customWidth="1"/>
    <col min="2818" max="2818" width="11.125" style="9" customWidth="1"/>
    <col min="2819" max="2819" width="10.75" style="9" customWidth="1"/>
    <col min="2820" max="2820" width="9" style="9"/>
    <col min="2821" max="2822" width="8" style="9" customWidth="1"/>
    <col min="2823" max="2823" width="8.875" style="9" bestFit="1" customWidth="1"/>
    <col min="2824" max="2825" width="11.25" style="9" customWidth="1"/>
    <col min="2826" max="3072" width="9" style="9"/>
    <col min="3073" max="3073" width="21.375" style="9" customWidth="1"/>
    <col min="3074" max="3074" width="11.125" style="9" customWidth="1"/>
    <col min="3075" max="3075" width="10.75" style="9" customWidth="1"/>
    <col min="3076" max="3076" width="9" style="9"/>
    <col min="3077" max="3078" width="8" style="9" customWidth="1"/>
    <col min="3079" max="3079" width="8.875" style="9" bestFit="1" customWidth="1"/>
    <col min="3080" max="3081" width="11.25" style="9" customWidth="1"/>
    <col min="3082" max="3328" width="9" style="9"/>
    <col min="3329" max="3329" width="21.375" style="9" customWidth="1"/>
    <col min="3330" max="3330" width="11.125" style="9" customWidth="1"/>
    <col min="3331" max="3331" width="10.75" style="9" customWidth="1"/>
    <col min="3332" max="3332" width="9" style="9"/>
    <col min="3333" max="3334" width="8" style="9" customWidth="1"/>
    <col min="3335" max="3335" width="8.875" style="9" bestFit="1" customWidth="1"/>
    <col min="3336" max="3337" width="11.25" style="9" customWidth="1"/>
    <col min="3338" max="3584" width="9" style="9"/>
    <col min="3585" max="3585" width="21.375" style="9" customWidth="1"/>
    <col min="3586" max="3586" width="11.125" style="9" customWidth="1"/>
    <col min="3587" max="3587" width="10.75" style="9" customWidth="1"/>
    <col min="3588" max="3588" width="9" style="9"/>
    <col min="3589" max="3590" width="8" style="9" customWidth="1"/>
    <col min="3591" max="3591" width="8.875" style="9" bestFit="1" customWidth="1"/>
    <col min="3592" max="3593" width="11.25" style="9" customWidth="1"/>
    <col min="3594" max="3840" width="9" style="9"/>
    <col min="3841" max="3841" width="21.375" style="9" customWidth="1"/>
    <col min="3842" max="3842" width="11.125" style="9" customWidth="1"/>
    <col min="3843" max="3843" width="10.75" style="9" customWidth="1"/>
    <col min="3844" max="3844" width="9" style="9"/>
    <col min="3845" max="3846" width="8" style="9" customWidth="1"/>
    <col min="3847" max="3847" width="8.875" style="9" bestFit="1" customWidth="1"/>
    <col min="3848" max="3849" width="11.25" style="9" customWidth="1"/>
    <col min="3850" max="4096" width="9" style="9"/>
    <col min="4097" max="4097" width="21.375" style="9" customWidth="1"/>
    <col min="4098" max="4098" width="11.125" style="9" customWidth="1"/>
    <col min="4099" max="4099" width="10.75" style="9" customWidth="1"/>
    <col min="4100" max="4100" width="9" style="9"/>
    <col min="4101" max="4102" width="8" style="9" customWidth="1"/>
    <col min="4103" max="4103" width="8.875" style="9" bestFit="1" customWidth="1"/>
    <col min="4104" max="4105" width="11.25" style="9" customWidth="1"/>
    <col min="4106" max="4352" width="9" style="9"/>
    <col min="4353" max="4353" width="21.375" style="9" customWidth="1"/>
    <col min="4354" max="4354" width="11.125" style="9" customWidth="1"/>
    <col min="4355" max="4355" width="10.75" style="9" customWidth="1"/>
    <col min="4356" max="4356" width="9" style="9"/>
    <col min="4357" max="4358" width="8" style="9" customWidth="1"/>
    <col min="4359" max="4359" width="8.875" style="9" bestFit="1" customWidth="1"/>
    <col min="4360" max="4361" width="11.25" style="9" customWidth="1"/>
    <col min="4362" max="4608" width="9" style="9"/>
    <col min="4609" max="4609" width="21.375" style="9" customWidth="1"/>
    <col min="4610" max="4610" width="11.125" style="9" customWidth="1"/>
    <col min="4611" max="4611" width="10.75" style="9" customWidth="1"/>
    <col min="4612" max="4612" width="9" style="9"/>
    <col min="4613" max="4614" width="8" style="9" customWidth="1"/>
    <col min="4615" max="4615" width="8.875" style="9" bestFit="1" customWidth="1"/>
    <col min="4616" max="4617" width="11.25" style="9" customWidth="1"/>
    <col min="4618" max="4864" width="9" style="9"/>
    <col min="4865" max="4865" width="21.375" style="9" customWidth="1"/>
    <col min="4866" max="4866" width="11.125" style="9" customWidth="1"/>
    <col min="4867" max="4867" width="10.75" style="9" customWidth="1"/>
    <col min="4868" max="4868" width="9" style="9"/>
    <col min="4869" max="4870" width="8" style="9" customWidth="1"/>
    <col min="4871" max="4871" width="8.875" style="9" bestFit="1" customWidth="1"/>
    <col min="4872" max="4873" width="11.25" style="9" customWidth="1"/>
    <col min="4874" max="5120" width="9" style="9"/>
    <col min="5121" max="5121" width="21.375" style="9" customWidth="1"/>
    <col min="5122" max="5122" width="11.125" style="9" customWidth="1"/>
    <col min="5123" max="5123" width="10.75" style="9" customWidth="1"/>
    <col min="5124" max="5124" width="9" style="9"/>
    <col min="5125" max="5126" width="8" style="9" customWidth="1"/>
    <col min="5127" max="5127" width="8.875" style="9" bestFit="1" customWidth="1"/>
    <col min="5128" max="5129" width="11.25" style="9" customWidth="1"/>
    <col min="5130" max="5376" width="9" style="9"/>
    <col min="5377" max="5377" width="21.375" style="9" customWidth="1"/>
    <col min="5378" max="5378" width="11.125" style="9" customWidth="1"/>
    <col min="5379" max="5379" width="10.75" style="9" customWidth="1"/>
    <col min="5380" max="5380" width="9" style="9"/>
    <col min="5381" max="5382" width="8" style="9" customWidth="1"/>
    <col min="5383" max="5383" width="8.875" style="9" bestFit="1" customWidth="1"/>
    <col min="5384" max="5385" width="11.25" style="9" customWidth="1"/>
    <col min="5386" max="5632" width="9" style="9"/>
    <col min="5633" max="5633" width="21.375" style="9" customWidth="1"/>
    <col min="5634" max="5634" width="11.125" style="9" customWidth="1"/>
    <col min="5635" max="5635" width="10.75" style="9" customWidth="1"/>
    <col min="5636" max="5636" width="9" style="9"/>
    <col min="5637" max="5638" width="8" style="9" customWidth="1"/>
    <col min="5639" max="5639" width="8.875" style="9" bestFit="1" customWidth="1"/>
    <col min="5640" max="5641" width="11.25" style="9" customWidth="1"/>
    <col min="5642" max="5888" width="9" style="9"/>
    <col min="5889" max="5889" width="21.375" style="9" customWidth="1"/>
    <col min="5890" max="5890" width="11.125" style="9" customWidth="1"/>
    <col min="5891" max="5891" width="10.75" style="9" customWidth="1"/>
    <col min="5892" max="5892" width="9" style="9"/>
    <col min="5893" max="5894" width="8" style="9" customWidth="1"/>
    <col min="5895" max="5895" width="8.875" style="9" bestFit="1" customWidth="1"/>
    <col min="5896" max="5897" width="11.25" style="9" customWidth="1"/>
    <col min="5898" max="6144" width="9" style="9"/>
    <col min="6145" max="6145" width="21.375" style="9" customWidth="1"/>
    <col min="6146" max="6146" width="11.125" style="9" customWidth="1"/>
    <col min="6147" max="6147" width="10.75" style="9" customWidth="1"/>
    <col min="6148" max="6148" width="9" style="9"/>
    <col min="6149" max="6150" width="8" style="9" customWidth="1"/>
    <col min="6151" max="6151" width="8.875" style="9" bestFit="1" customWidth="1"/>
    <col min="6152" max="6153" width="11.25" style="9" customWidth="1"/>
    <col min="6154" max="6400" width="9" style="9"/>
    <col min="6401" max="6401" width="21.375" style="9" customWidth="1"/>
    <col min="6402" max="6402" width="11.125" style="9" customWidth="1"/>
    <col min="6403" max="6403" width="10.75" style="9" customWidth="1"/>
    <col min="6404" max="6404" width="9" style="9"/>
    <col min="6405" max="6406" width="8" style="9" customWidth="1"/>
    <col min="6407" max="6407" width="8.875" style="9" bestFit="1" customWidth="1"/>
    <col min="6408" max="6409" width="11.25" style="9" customWidth="1"/>
    <col min="6410" max="6656" width="9" style="9"/>
    <col min="6657" max="6657" width="21.375" style="9" customWidth="1"/>
    <col min="6658" max="6658" width="11.125" style="9" customWidth="1"/>
    <col min="6659" max="6659" width="10.75" style="9" customWidth="1"/>
    <col min="6660" max="6660" width="9" style="9"/>
    <col min="6661" max="6662" width="8" style="9" customWidth="1"/>
    <col min="6663" max="6663" width="8.875" style="9" bestFit="1" customWidth="1"/>
    <col min="6664" max="6665" width="11.25" style="9" customWidth="1"/>
    <col min="6666" max="6912" width="9" style="9"/>
    <col min="6913" max="6913" width="21.375" style="9" customWidth="1"/>
    <col min="6914" max="6914" width="11.125" style="9" customWidth="1"/>
    <col min="6915" max="6915" width="10.75" style="9" customWidth="1"/>
    <col min="6916" max="6916" width="9" style="9"/>
    <col min="6917" max="6918" width="8" style="9" customWidth="1"/>
    <col min="6919" max="6919" width="8.875" style="9" bestFit="1" customWidth="1"/>
    <col min="6920" max="6921" width="11.25" style="9" customWidth="1"/>
    <col min="6922" max="7168" width="9" style="9"/>
    <col min="7169" max="7169" width="21.375" style="9" customWidth="1"/>
    <col min="7170" max="7170" width="11.125" style="9" customWidth="1"/>
    <col min="7171" max="7171" width="10.75" style="9" customWidth="1"/>
    <col min="7172" max="7172" width="9" style="9"/>
    <col min="7173" max="7174" width="8" style="9" customWidth="1"/>
    <col min="7175" max="7175" width="8.875" style="9" bestFit="1" customWidth="1"/>
    <col min="7176" max="7177" width="11.25" style="9" customWidth="1"/>
    <col min="7178" max="7424" width="9" style="9"/>
    <col min="7425" max="7425" width="21.375" style="9" customWidth="1"/>
    <col min="7426" max="7426" width="11.125" style="9" customWidth="1"/>
    <col min="7427" max="7427" width="10.75" style="9" customWidth="1"/>
    <col min="7428" max="7428" width="9" style="9"/>
    <col min="7429" max="7430" width="8" style="9" customWidth="1"/>
    <col min="7431" max="7431" width="8.875" style="9" bestFit="1" customWidth="1"/>
    <col min="7432" max="7433" width="11.25" style="9" customWidth="1"/>
    <col min="7434" max="7680" width="9" style="9"/>
    <col min="7681" max="7681" width="21.375" style="9" customWidth="1"/>
    <col min="7682" max="7682" width="11.125" style="9" customWidth="1"/>
    <col min="7683" max="7683" width="10.75" style="9" customWidth="1"/>
    <col min="7684" max="7684" width="9" style="9"/>
    <col min="7685" max="7686" width="8" style="9" customWidth="1"/>
    <col min="7687" max="7687" width="8.875" style="9" bestFit="1" customWidth="1"/>
    <col min="7688" max="7689" width="11.25" style="9" customWidth="1"/>
    <col min="7690" max="7936" width="9" style="9"/>
    <col min="7937" max="7937" width="21.375" style="9" customWidth="1"/>
    <col min="7938" max="7938" width="11.125" style="9" customWidth="1"/>
    <col min="7939" max="7939" width="10.75" style="9" customWidth="1"/>
    <col min="7940" max="7940" width="9" style="9"/>
    <col min="7941" max="7942" width="8" style="9" customWidth="1"/>
    <col min="7943" max="7943" width="8.875" style="9" bestFit="1" customWidth="1"/>
    <col min="7944" max="7945" width="11.25" style="9" customWidth="1"/>
    <col min="7946" max="8192" width="9" style="9"/>
    <col min="8193" max="8193" width="21.375" style="9" customWidth="1"/>
    <col min="8194" max="8194" width="11.125" style="9" customWidth="1"/>
    <col min="8195" max="8195" width="10.75" style="9" customWidth="1"/>
    <col min="8196" max="8196" width="9" style="9"/>
    <col min="8197" max="8198" width="8" style="9" customWidth="1"/>
    <col min="8199" max="8199" width="8.875" style="9" bestFit="1" customWidth="1"/>
    <col min="8200" max="8201" width="11.25" style="9" customWidth="1"/>
    <col min="8202" max="8448" width="9" style="9"/>
    <col min="8449" max="8449" width="21.375" style="9" customWidth="1"/>
    <col min="8450" max="8450" width="11.125" style="9" customWidth="1"/>
    <col min="8451" max="8451" width="10.75" style="9" customWidth="1"/>
    <col min="8452" max="8452" width="9" style="9"/>
    <col min="8453" max="8454" width="8" style="9" customWidth="1"/>
    <col min="8455" max="8455" width="8.875" style="9" bestFit="1" customWidth="1"/>
    <col min="8456" max="8457" width="11.25" style="9" customWidth="1"/>
    <col min="8458" max="8704" width="9" style="9"/>
    <col min="8705" max="8705" width="21.375" style="9" customWidth="1"/>
    <col min="8706" max="8706" width="11.125" style="9" customWidth="1"/>
    <col min="8707" max="8707" width="10.75" style="9" customWidth="1"/>
    <col min="8708" max="8708" width="9" style="9"/>
    <col min="8709" max="8710" width="8" style="9" customWidth="1"/>
    <col min="8711" max="8711" width="8.875" style="9" bestFit="1" customWidth="1"/>
    <col min="8712" max="8713" width="11.25" style="9" customWidth="1"/>
    <col min="8714" max="8960" width="9" style="9"/>
    <col min="8961" max="8961" width="21.375" style="9" customWidth="1"/>
    <col min="8962" max="8962" width="11.125" style="9" customWidth="1"/>
    <col min="8963" max="8963" width="10.75" style="9" customWidth="1"/>
    <col min="8964" max="8964" width="9" style="9"/>
    <col min="8965" max="8966" width="8" style="9" customWidth="1"/>
    <col min="8967" max="8967" width="8.875" style="9" bestFit="1" customWidth="1"/>
    <col min="8968" max="8969" width="11.25" style="9" customWidth="1"/>
    <col min="8970" max="9216" width="9" style="9"/>
    <col min="9217" max="9217" width="21.375" style="9" customWidth="1"/>
    <col min="9218" max="9218" width="11.125" style="9" customWidth="1"/>
    <col min="9219" max="9219" width="10.75" style="9" customWidth="1"/>
    <col min="9220" max="9220" width="9" style="9"/>
    <col min="9221" max="9222" width="8" style="9" customWidth="1"/>
    <col min="9223" max="9223" width="8.875" style="9" bestFit="1" customWidth="1"/>
    <col min="9224" max="9225" width="11.25" style="9" customWidth="1"/>
    <col min="9226" max="9472" width="9" style="9"/>
    <col min="9473" max="9473" width="21.375" style="9" customWidth="1"/>
    <col min="9474" max="9474" width="11.125" style="9" customWidth="1"/>
    <col min="9475" max="9475" width="10.75" style="9" customWidth="1"/>
    <col min="9476" max="9476" width="9" style="9"/>
    <col min="9477" max="9478" width="8" style="9" customWidth="1"/>
    <col min="9479" max="9479" width="8.875" style="9" bestFit="1" customWidth="1"/>
    <col min="9480" max="9481" width="11.25" style="9" customWidth="1"/>
    <col min="9482" max="9728" width="9" style="9"/>
    <col min="9729" max="9729" width="21.375" style="9" customWidth="1"/>
    <col min="9730" max="9730" width="11.125" style="9" customWidth="1"/>
    <col min="9731" max="9731" width="10.75" style="9" customWidth="1"/>
    <col min="9732" max="9732" width="9" style="9"/>
    <col min="9733" max="9734" width="8" style="9" customWidth="1"/>
    <col min="9735" max="9735" width="8.875" style="9" bestFit="1" customWidth="1"/>
    <col min="9736" max="9737" width="11.25" style="9" customWidth="1"/>
    <col min="9738" max="9984" width="9" style="9"/>
    <col min="9985" max="9985" width="21.375" style="9" customWidth="1"/>
    <col min="9986" max="9986" width="11.125" style="9" customWidth="1"/>
    <col min="9987" max="9987" width="10.75" style="9" customWidth="1"/>
    <col min="9988" max="9988" width="9" style="9"/>
    <col min="9989" max="9990" width="8" style="9" customWidth="1"/>
    <col min="9991" max="9991" width="8.875" style="9" bestFit="1" customWidth="1"/>
    <col min="9992" max="9993" width="11.25" style="9" customWidth="1"/>
    <col min="9994" max="10240" width="9" style="9"/>
    <col min="10241" max="10241" width="21.375" style="9" customWidth="1"/>
    <col min="10242" max="10242" width="11.125" style="9" customWidth="1"/>
    <col min="10243" max="10243" width="10.75" style="9" customWidth="1"/>
    <col min="10244" max="10244" width="9" style="9"/>
    <col min="10245" max="10246" width="8" style="9" customWidth="1"/>
    <col min="10247" max="10247" width="8.875" style="9" bestFit="1" customWidth="1"/>
    <col min="10248" max="10249" width="11.25" style="9" customWidth="1"/>
    <col min="10250" max="10496" width="9" style="9"/>
    <col min="10497" max="10497" width="21.375" style="9" customWidth="1"/>
    <col min="10498" max="10498" width="11.125" style="9" customWidth="1"/>
    <col min="10499" max="10499" width="10.75" style="9" customWidth="1"/>
    <col min="10500" max="10500" width="9" style="9"/>
    <col min="10501" max="10502" width="8" style="9" customWidth="1"/>
    <col min="10503" max="10503" width="8.875" style="9" bestFit="1" customWidth="1"/>
    <col min="10504" max="10505" width="11.25" style="9" customWidth="1"/>
    <col min="10506" max="10752" width="9" style="9"/>
    <col min="10753" max="10753" width="21.375" style="9" customWidth="1"/>
    <col min="10754" max="10754" width="11.125" style="9" customWidth="1"/>
    <col min="10755" max="10755" width="10.75" style="9" customWidth="1"/>
    <col min="10756" max="10756" width="9" style="9"/>
    <col min="10757" max="10758" width="8" style="9" customWidth="1"/>
    <col min="10759" max="10759" width="8.875" style="9" bestFit="1" customWidth="1"/>
    <col min="10760" max="10761" width="11.25" style="9" customWidth="1"/>
    <col min="10762" max="11008" width="9" style="9"/>
    <col min="11009" max="11009" width="21.375" style="9" customWidth="1"/>
    <col min="11010" max="11010" width="11.125" style="9" customWidth="1"/>
    <col min="11011" max="11011" width="10.75" style="9" customWidth="1"/>
    <col min="11012" max="11012" width="9" style="9"/>
    <col min="11013" max="11014" width="8" style="9" customWidth="1"/>
    <col min="11015" max="11015" width="8.875" style="9" bestFit="1" customWidth="1"/>
    <col min="11016" max="11017" width="11.25" style="9" customWidth="1"/>
    <col min="11018" max="11264" width="9" style="9"/>
    <col min="11265" max="11265" width="21.375" style="9" customWidth="1"/>
    <col min="11266" max="11266" width="11.125" style="9" customWidth="1"/>
    <col min="11267" max="11267" width="10.75" style="9" customWidth="1"/>
    <col min="11268" max="11268" width="9" style="9"/>
    <col min="11269" max="11270" width="8" style="9" customWidth="1"/>
    <col min="11271" max="11271" width="8.875" style="9" bestFit="1" customWidth="1"/>
    <col min="11272" max="11273" width="11.25" style="9" customWidth="1"/>
    <col min="11274" max="11520" width="9" style="9"/>
    <col min="11521" max="11521" width="21.375" style="9" customWidth="1"/>
    <col min="11522" max="11522" width="11.125" style="9" customWidth="1"/>
    <col min="11523" max="11523" width="10.75" style="9" customWidth="1"/>
    <col min="11524" max="11524" width="9" style="9"/>
    <col min="11525" max="11526" width="8" style="9" customWidth="1"/>
    <col min="11527" max="11527" width="8.875" style="9" bestFit="1" customWidth="1"/>
    <col min="11528" max="11529" width="11.25" style="9" customWidth="1"/>
    <col min="11530" max="11776" width="9" style="9"/>
    <col min="11777" max="11777" width="21.375" style="9" customWidth="1"/>
    <col min="11778" max="11778" width="11.125" style="9" customWidth="1"/>
    <col min="11779" max="11779" width="10.75" style="9" customWidth="1"/>
    <col min="11780" max="11780" width="9" style="9"/>
    <col min="11781" max="11782" width="8" style="9" customWidth="1"/>
    <col min="11783" max="11783" width="8.875" style="9" bestFit="1" customWidth="1"/>
    <col min="11784" max="11785" width="11.25" style="9" customWidth="1"/>
    <col min="11786" max="12032" width="9" style="9"/>
    <col min="12033" max="12033" width="21.375" style="9" customWidth="1"/>
    <col min="12034" max="12034" width="11.125" style="9" customWidth="1"/>
    <col min="12035" max="12035" width="10.75" style="9" customWidth="1"/>
    <col min="12036" max="12036" width="9" style="9"/>
    <col min="12037" max="12038" width="8" style="9" customWidth="1"/>
    <col min="12039" max="12039" width="8.875" style="9" bestFit="1" customWidth="1"/>
    <col min="12040" max="12041" width="11.25" style="9" customWidth="1"/>
    <col min="12042" max="12288" width="9" style="9"/>
    <col min="12289" max="12289" width="21.375" style="9" customWidth="1"/>
    <col min="12290" max="12290" width="11.125" style="9" customWidth="1"/>
    <col min="12291" max="12291" width="10.75" style="9" customWidth="1"/>
    <col min="12292" max="12292" width="9" style="9"/>
    <col min="12293" max="12294" width="8" style="9" customWidth="1"/>
    <col min="12295" max="12295" width="8.875" style="9" bestFit="1" customWidth="1"/>
    <col min="12296" max="12297" width="11.25" style="9" customWidth="1"/>
    <col min="12298" max="12544" width="9" style="9"/>
    <col min="12545" max="12545" width="21.375" style="9" customWidth="1"/>
    <col min="12546" max="12546" width="11.125" style="9" customWidth="1"/>
    <col min="12547" max="12547" width="10.75" style="9" customWidth="1"/>
    <col min="12548" max="12548" width="9" style="9"/>
    <col min="12549" max="12550" width="8" style="9" customWidth="1"/>
    <col min="12551" max="12551" width="8.875" style="9" bestFit="1" customWidth="1"/>
    <col min="12552" max="12553" width="11.25" style="9" customWidth="1"/>
    <col min="12554" max="12800" width="9" style="9"/>
    <col min="12801" max="12801" width="21.375" style="9" customWidth="1"/>
    <col min="12802" max="12802" width="11.125" style="9" customWidth="1"/>
    <col min="12803" max="12803" width="10.75" style="9" customWidth="1"/>
    <col min="12804" max="12804" width="9" style="9"/>
    <col min="12805" max="12806" width="8" style="9" customWidth="1"/>
    <col min="12807" max="12807" width="8.875" style="9" bestFit="1" customWidth="1"/>
    <col min="12808" max="12809" width="11.25" style="9" customWidth="1"/>
    <col min="12810" max="13056" width="9" style="9"/>
    <col min="13057" max="13057" width="21.375" style="9" customWidth="1"/>
    <col min="13058" max="13058" width="11.125" style="9" customWidth="1"/>
    <col min="13059" max="13059" width="10.75" style="9" customWidth="1"/>
    <col min="13060" max="13060" width="9" style="9"/>
    <col min="13061" max="13062" width="8" style="9" customWidth="1"/>
    <col min="13063" max="13063" width="8.875" style="9" bestFit="1" customWidth="1"/>
    <col min="13064" max="13065" width="11.25" style="9" customWidth="1"/>
    <col min="13066" max="13312" width="9" style="9"/>
    <col min="13313" max="13313" width="21.375" style="9" customWidth="1"/>
    <col min="13314" max="13314" width="11.125" style="9" customWidth="1"/>
    <col min="13315" max="13315" width="10.75" style="9" customWidth="1"/>
    <col min="13316" max="13316" width="9" style="9"/>
    <col min="13317" max="13318" width="8" style="9" customWidth="1"/>
    <col min="13319" max="13319" width="8.875" style="9" bestFit="1" customWidth="1"/>
    <col min="13320" max="13321" width="11.25" style="9" customWidth="1"/>
    <col min="13322" max="13568" width="9" style="9"/>
    <col min="13569" max="13569" width="21.375" style="9" customWidth="1"/>
    <col min="13570" max="13570" width="11.125" style="9" customWidth="1"/>
    <col min="13571" max="13571" width="10.75" style="9" customWidth="1"/>
    <col min="13572" max="13572" width="9" style="9"/>
    <col min="13573" max="13574" width="8" style="9" customWidth="1"/>
    <col min="13575" max="13575" width="8.875" style="9" bestFit="1" customWidth="1"/>
    <col min="13576" max="13577" width="11.25" style="9" customWidth="1"/>
    <col min="13578" max="13824" width="9" style="9"/>
    <col min="13825" max="13825" width="21.375" style="9" customWidth="1"/>
    <col min="13826" max="13826" width="11.125" style="9" customWidth="1"/>
    <col min="13827" max="13827" width="10.75" style="9" customWidth="1"/>
    <col min="13828" max="13828" width="9" style="9"/>
    <col min="13829" max="13830" width="8" style="9" customWidth="1"/>
    <col min="13831" max="13831" width="8.875" style="9" bestFit="1" customWidth="1"/>
    <col min="13832" max="13833" width="11.25" style="9" customWidth="1"/>
    <col min="13834" max="14080" width="9" style="9"/>
    <col min="14081" max="14081" width="21.375" style="9" customWidth="1"/>
    <col min="14082" max="14082" width="11.125" style="9" customWidth="1"/>
    <col min="14083" max="14083" width="10.75" style="9" customWidth="1"/>
    <col min="14084" max="14084" width="9" style="9"/>
    <col min="14085" max="14086" width="8" style="9" customWidth="1"/>
    <col min="14087" max="14087" width="8.875" style="9" bestFit="1" customWidth="1"/>
    <col min="14088" max="14089" width="11.25" style="9" customWidth="1"/>
    <col min="14090" max="14336" width="9" style="9"/>
    <col min="14337" max="14337" width="21.375" style="9" customWidth="1"/>
    <col min="14338" max="14338" width="11.125" style="9" customWidth="1"/>
    <col min="14339" max="14339" width="10.75" style="9" customWidth="1"/>
    <col min="14340" max="14340" width="9" style="9"/>
    <col min="14341" max="14342" width="8" style="9" customWidth="1"/>
    <col min="14343" max="14343" width="8.875" style="9" bestFit="1" customWidth="1"/>
    <col min="14344" max="14345" width="11.25" style="9" customWidth="1"/>
    <col min="14346" max="14592" width="9" style="9"/>
    <col min="14593" max="14593" width="21.375" style="9" customWidth="1"/>
    <col min="14594" max="14594" width="11.125" style="9" customWidth="1"/>
    <col min="14595" max="14595" width="10.75" style="9" customWidth="1"/>
    <col min="14596" max="14596" width="9" style="9"/>
    <col min="14597" max="14598" width="8" style="9" customWidth="1"/>
    <col min="14599" max="14599" width="8.875" style="9" bestFit="1" customWidth="1"/>
    <col min="14600" max="14601" width="11.25" style="9" customWidth="1"/>
    <col min="14602" max="14848" width="9" style="9"/>
    <col min="14849" max="14849" width="21.375" style="9" customWidth="1"/>
    <col min="14850" max="14850" width="11.125" style="9" customWidth="1"/>
    <col min="14851" max="14851" width="10.75" style="9" customWidth="1"/>
    <col min="14852" max="14852" width="9" style="9"/>
    <col min="14853" max="14854" width="8" style="9" customWidth="1"/>
    <col min="14855" max="14855" width="8.875" style="9" bestFit="1" customWidth="1"/>
    <col min="14856" max="14857" width="11.25" style="9" customWidth="1"/>
    <col min="14858" max="15104" width="9" style="9"/>
    <col min="15105" max="15105" width="21.375" style="9" customWidth="1"/>
    <col min="15106" max="15106" width="11.125" style="9" customWidth="1"/>
    <col min="15107" max="15107" width="10.75" style="9" customWidth="1"/>
    <col min="15108" max="15108" width="9" style="9"/>
    <col min="15109" max="15110" width="8" style="9" customWidth="1"/>
    <col min="15111" max="15111" width="8.875" style="9" bestFit="1" customWidth="1"/>
    <col min="15112" max="15113" width="11.25" style="9" customWidth="1"/>
    <col min="15114" max="15360" width="9" style="9"/>
    <col min="15361" max="15361" width="21.375" style="9" customWidth="1"/>
    <col min="15362" max="15362" width="11.125" style="9" customWidth="1"/>
    <col min="15363" max="15363" width="10.75" style="9" customWidth="1"/>
    <col min="15364" max="15364" width="9" style="9"/>
    <col min="15365" max="15366" width="8" style="9" customWidth="1"/>
    <col min="15367" max="15367" width="8.875" style="9" bestFit="1" customWidth="1"/>
    <col min="15368" max="15369" width="11.25" style="9" customWidth="1"/>
    <col min="15370" max="15616" width="9" style="9"/>
    <col min="15617" max="15617" width="21.375" style="9" customWidth="1"/>
    <col min="15618" max="15618" width="11.125" style="9" customWidth="1"/>
    <col min="15619" max="15619" width="10.75" style="9" customWidth="1"/>
    <col min="15620" max="15620" width="9" style="9"/>
    <col min="15621" max="15622" width="8" style="9" customWidth="1"/>
    <col min="15623" max="15623" width="8.875" style="9" bestFit="1" customWidth="1"/>
    <col min="15624" max="15625" width="11.25" style="9" customWidth="1"/>
    <col min="15626" max="15872" width="9" style="9"/>
    <col min="15873" max="15873" width="21.375" style="9" customWidth="1"/>
    <col min="15874" max="15874" width="11.125" style="9" customWidth="1"/>
    <col min="15875" max="15875" width="10.75" style="9" customWidth="1"/>
    <col min="15876" max="15876" width="9" style="9"/>
    <col min="15877" max="15878" width="8" style="9" customWidth="1"/>
    <col min="15879" max="15879" width="8.875" style="9" bestFit="1" customWidth="1"/>
    <col min="15880" max="15881" width="11.25" style="9" customWidth="1"/>
    <col min="15882" max="16128" width="9" style="9"/>
    <col min="16129" max="16129" width="21.375" style="9" customWidth="1"/>
    <col min="16130" max="16130" width="11.125" style="9" customWidth="1"/>
    <col min="16131" max="16131" width="10.75" style="9" customWidth="1"/>
    <col min="16132" max="16132" width="9" style="9"/>
    <col min="16133" max="16134" width="8" style="9" customWidth="1"/>
    <col min="16135" max="16135" width="8.875" style="9" bestFit="1" customWidth="1"/>
    <col min="16136" max="16137" width="11.25" style="9" customWidth="1"/>
    <col min="16138" max="16384" width="9" style="9"/>
  </cols>
  <sheetData>
    <row r="1" spans="1:19" s="6" customFormat="1" ht="4.5" customHeight="1">
      <c r="B1" s="7" t="s">
        <v>364</v>
      </c>
      <c r="C1" s="7"/>
      <c r="D1" s="7"/>
      <c r="E1" s="7"/>
      <c r="F1" s="7"/>
      <c r="G1" s="7"/>
      <c r="H1" s="7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ht="27.75" customHeight="1">
      <c r="B2" s="7"/>
      <c r="C2" s="7"/>
      <c r="D2" s="7"/>
      <c r="E2" s="7"/>
      <c r="F2" s="7"/>
      <c r="G2" s="7"/>
      <c r="H2" s="7"/>
    </row>
    <row r="3" spans="1:19" ht="19.5" customHeight="1">
      <c r="A3" s="11" t="s">
        <v>365</v>
      </c>
      <c r="C3" s="12"/>
      <c r="D3" s="13"/>
      <c r="E3" s="14"/>
      <c r="F3" s="14"/>
      <c r="G3" s="14"/>
    </row>
    <row r="4" spans="1:19" ht="19.5" customHeight="1">
      <c r="A4" s="11" t="s">
        <v>366</v>
      </c>
      <c r="C4" s="12"/>
      <c r="D4" s="13"/>
      <c r="E4" s="14"/>
      <c r="F4" s="14"/>
      <c r="G4" s="15"/>
      <c r="H4" s="15"/>
      <c r="I4" s="15"/>
    </row>
    <row r="5" spans="1:19" ht="12" customHeight="1" thickBot="1">
      <c r="G5" s="16"/>
      <c r="H5" s="17" t="str">
        <f>"작성일 : "&amp;TEXT(_xlfn.XLOOKUP(B7,near_miss_excel_view!C:C,near_miss_excel_view!D:D,"없음",0,1),"YY-MM-DD")</f>
        <v>작성일 : 26-04-18</v>
      </c>
      <c r="I5" s="17"/>
    </row>
    <row r="6" spans="1:19" s="26" customFormat="1" ht="18.75" customHeight="1">
      <c r="A6" s="18" t="s">
        <v>367</v>
      </c>
      <c r="B6" s="19" t="s">
        <v>368</v>
      </c>
      <c r="C6" s="20"/>
      <c r="D6" s="21" t="s">
        <v>369</v>
      </c>
      <c r="E6" s="22" t="str">
        <f>_xlfn.XLOOKUP(B7,near_miss_excel_view!C:C,near_miss_excel_view!B:B,"없음",0,1)</f>
        <v>이윤성</v>
      </c>
      <c r="F6" s="23"/>
      <c r="G6" s="21" t="s">
        <v>370</v>
      </c>
      <c r="H6" s="22"/>
      <c r="I6" s="24"/>
      <c r="J6" s="25"/>
      <c r="K6" s="25"/>
      <c r="L6" s="25"/>
      <c r="M6" s="25"/>
      <c r="N6" s="25"/>
      <c r="O6" s="25"/>
      <c r="P6" s="25"/>
      <c r="Q6" s="25"/>
      <c r="R6" s="25"/>
      <c r="S6" s="25"/>
    </row>
    <row r="7" spans="1:19" s="26" customFormat="1" ht="18.75" customHeight="1">
      <c r="A7" s="27" t="s">
        <v>371</v>
      </c>
      <c r="B7" s="28" t="s">
        <v>360</v>
      </c>
      <c r="C7" s="29"/>
      <c r="D7" s="29"/>
      <c r="E7" s="29"/>
      <c r="F7" s="29"/>
      <c r="G7" s="29"/>
      <c r="H7" s="29"/>
      <c r="I7" s="30"/>
      <c r="J7" s="25"/>
      <c r="K7" s="25"/>
      <c r="L7" s="25"/>
      <c r="M7" s="25"/>
      <c r="N7" s="25"/>
      <c r="O7" s="25"/>
      <c r="P7" s="25"/>
      <c r="Q7" s="25"/>
      <c r="R7" s="25"/>
      <c r="S7" s="25"/>
    </row>
    <row r="8" spans="1:19" s="26" customFormat="1" ht="4.5" customHeight="1">
      <c r="A8" s="31"/>
      <c r="B8" s="32"/>
      <c r="I8" s="33"/>
      <c r="J8" s="25"/>
      <c r="K8" s="25"/>
      <c r="L8" s="25"/>
      <c r="M8" s="25"/>
      <c r="N8" s="25"/>
      <c r="O8" s="25"/>
      <c r="P8" s="25"/>
      <c r="Q8" s="25"/>
      <c r="R8" s="25"/>
      <c r="S8" s="25"/>
    </row>
    <row r="9" spans="1:19" s="26" customFormat="1" ht="16.5" customHeight="1">
      <c r="A9" s="34" t="s">
        <v>372</v>
      </c>
      <c r="B9" s="35" t="str">
        <f>" 1. 발생 일시 :    "&amp;TEXT(_xlfn.XLOOKUP(B7,near_miss_excel_view!C:C,near_miss_excel_view!D:D,"없음",0,1),"YYYY년 MM월 DD일 hh시 mm분")&amp;" 경"</f>
        <v xml:space="preserve"> 1. 발생 일시 :    2026년 04월 18일 22시 40분 경</v>
      </c>
      <c r="C9" s="36"/>
      <c r="I9" s="33"/>
      <c r="J9" s="25"/>
      <c r="K9" s="25"/>
      <c r="L9" s="25"/>
      <c r="M9" s="25"/>
      <c r="N9" s="25"/>
      <c r="O9" s="25"/>
      <c r="P9" s="25"/>
      <c r="Q9" s="25"/>
      <c r="R9" s="25"/>
      <c r="S9" s="25"/>
    </row>
    <row r="10" spans="1:19" s="26" customFormat="1" ht="16.5" customHeight="1">
      <c r="A10" s="34" t="s">
        <v>373</v>
      </c>
      <c r="B10" s="37" t="str">
        <f>" 2. 발생 장소 :    "&amp;_xlfn.XLOOKUP(B7,near_miss_excel_view!C:C,near_miss_excel_view!E:E,"없음",0,1)</f>
        <v xml:space="preserve"> 2. 발생 장소 :    4k kiln inlet 앞 계단</v>
      </c>
      <c r="I10" s="33"/>
      <c r="J10" s="25"/>
      <c r="K10" s="25"/>
      <c r="L10" s="25"/>
      <c r="M10" s="25"/>
      <c r="N10" s="25"/>
      <c r="O10" s="25"/>
      <c r="P10" s="25"/>
      <c r="Q10" s="25"/>
      <c r="R10" s="25"/>
      <c r="S10" s="25"/>
    </row>
    <row r="11" spans="1:19" s="26" customFormat="1" ht="16.5" customHeight="1">
      <c r="A11" s="38" t="s">
        <v>374</v>
      </c>
      <c r="B11" s="39" t="str" cm="1">
        <f t="array" ref="B11">" 3. 내용 / 원인 : "&amp;_xlfn.XLOOKUP(B7,near_miss_excel_view!C:C,CHAR(10)&amp;"내용: "&amp;near_miss_excel_view!F:F&amp;CHAR(10)&amp;"원인: "&amp;near_miss_excel_view!G:G,"없음",0,1)</f>
        <v xml:space="preserve"> 3. 내용 / 원인 : 
내용: 4k kiln inlet Probe 점검하러 올라가려는 계단에 위치한 배관에 헬멧을 박아서 뒤로 넘어질 뻔한 사고 발생
원인: 계단 위치에 있는 배관이 너무 낮게 되어 있습니다.</v>
      </c>
      <c r="C11" s="40"/>
      <c r="D11" s="40"/>
      <c r="E11" s="40"/>
      <c r="F11" s="40"/>
      <c r="G11" s="40"/>
      <c r="H11" s="40"/>
      <c r="I11" s="41"/>
      <c r="J11" s="25"/>
      <c r="K11" s="25"/>
      <c r="L11" s="25"/>
      <c r="M11" s="25"/>
      <c r="N11" s="25"/>
      <c r="O11" s="25"/>
      <c r="P11" s="25"/>
      <c r="Q11" s="25"/>
      <c r="R11" s="25"/>
      <c r="S11" s="25"/>
    </row>
    <row r="12" spans="1:19" s="26" customFormat="1" ht="16.5" customHeight="1">
      <c r="A12" s="42" t="s">
        <v>375</v>
      </c>
      <c r="B12" s="39"/>
      <c r="C12" s="40"/>
      <c r="D12" s="40"/>
      <c r="E12" s="40"/>
      <c r="F12" s="40"/>
      <c r="G12" s="40"/>
      <c r="H12" s="40"/>
      <c r="I12" s="41"/>
      <c r="J12" s="25"/>
      <c r="K12" s="25"/>
      <c r="L12" s="25"/>
      <c r="M12" s="25"/>
      <c r="N12" s="25"/>
      <c r="O12" s="25"/>
      <c r="P12" s="25"/>
      <c r="Q12" s="25"/>
      <c r="R12" s="25"/>
      <c r="S12" s="25"/>
    </row>
    <row r="13" spans="1:19" s="26" customFormat="1" ht="16.5" customHeight="1">
      <c r="A13" s="42"/>
      <c r="B13" s="39"/>
      <c r="C13" s="40"/>
      <c r="D13" s="40"/>
      <c r="E13" s="40"/>
      <c r="F13" s="40"/>
      <c r="G13" s="40"/>
      <c r="H13" s="40"/>
      <c r="I13" s="41"/>
      <c r="J13" s="25"/>
      <c r="K13" s="25"/>
      <c r="L13" s="25"/>
      <c r="M13" s="25"/>
      <c r="N13" s="25"/>
      <c r="O13" s="25"/>
      <c r="P13" s="25"/>
      <c r="Q13" s="25"/>
      <c r="R13" s="25"/>
      <c r="S13" s="25"/>
    </row>
    <row r="14" spans="1:19" s="26" customFormat="1" ht="16.5" customHeight="1">
      <c r="A14" s="42"/>
      <c r="B14" s="39"/>
      <c r="C14" s="40"/>
      <c r="D14" s="40"/>
      <c r="E14" s="40"/>
      <c r="F14" s="40"/>
      <c r="G14" s="40"/>
      <c r="H14" s="40"/>
      <c r="I14" s="41"/>
      <c r="J14" s="25"/>
      <c r="K14" s="25"/>
      <c r="L14" s="25"/>
      <c r="M14" s="25"/>
      <c r="N14" s="25"/>
      <c r="O14" s="25"/>
      <c r="P14" s="25"/>
      <c r="Q14" s="25"/>
      <c r="R14" s="25"/>
      <c r="S14" s="25"/>
    </row>
    <row r="15" spans="1:19" s="26" customFormat="1" ht="16.5" customHeight="1">
      <c r="A15" s="34"/>
      <c r="B15" s="39"/>
      <c r="C15" s="40"/>
      <c r="D15" s="40"/>
      <c r="E15" s="40"/>
      <c r="F15" s="40"/>
      <c r="G15" s="40"/>
      <c r="H15" s="40"/>
      <c r="I15" s="41"/>
      <c r="J15" s="25"/>
      <c r="K15" s="25"/>
      <c r="L15" s="25"/>
      <c r="M15" s="25"/>
      <c r="N15" s="25"/>
      <c r="O15" s="25"/>
      <c r="P15" s="25"/>
      <c r="Q15" s="25"/>
      <c r="R15" s="25"/>
      <c r="S15" s="25"/>
    </row>
    <row r="16" spans="1:19" s="26" customFormat="1" ht="17.45" customHeight="1" thickBot="1">
      <c r="A16" s="34"/>
      <c r="B16" s="39"/>
      <c r="C16" s="40"/>
      <c r="D16" s="40"/>
      <c r="E16" s="40"/>
      <c r="F16" s="40"/>
      <c r="G16" s="40"/>
      <c r="H16" s="40"/>
      <c r="I16" s="41"/>
      <c r="J16" s="25" t="s">
        <v>376</v>
      </c>
      <c r="K16" s="25"/>
      <c r="L16" s="25" t="s">
        <v>377</v>
      </c>
      <c r="M16" s="25"/>
      <c r="N16" s="25" t="s">
        <v>378</v>
      </c>
      <c r="O16" s="25"/>
      <c r="P16" s="25" t="s">
        <v>379</v>
      </c>
      <c r="Q16" s="25"/>
      <c r="R16" s="25" t="s">
        <v>380</v>
      </c>
      <c r="S16" s="25"/>
    </row>
    <row r="17" spans="1:19" s="26" customFormat="1" ht="16.149999999999999" customHeight="1">
      <c r="A17" s="43" t="s">
        <v>381</v>
      </c>
      <c r="B17" s="44"/>
      <c r="C17" s="44"/>
      <c r="D17" s="44"/>
      <c r="E17" s="44"/>
      <c r="F17" s="44"/>
      <c r="G17" s="44"/>
      <c r="H17" s="44"/>
      <c r="I17" s="45"/>
      <c r="J17" s="25" t="str">
        <f>_xlfn.XLOOKUP(B7,near_miss_excel_view!$C:$C,near_miss_excel_view!H:H,"없음",0,1)</f>
        <v>충돌</v>
      </c>
      <c r="K17" s="25"/>
      <c r="L17" s="25" t="str">
        <f>_xlfn.XLOOKUP(B7,near_miss_excel_view!$C:$C,near_miss_excel_view!I:I,"없음",0,1)</f>
        <v>계단</v>
      </c>
      <c r="M17" s="25"/>
      <c r="N17" s="25" t="str">
        <f>_xlfn.XLOOKUP(B7,near_miss_excel_view!$C:$C,near_miss_excel_view!J:J,"없음",0,1)</f>
        <v>불안전한 자세</v>
      </c>
      <c r="O17" s="25"/>
      <c r="P17" s="25" t="str">
        <f>_xlfn.XLOOKUP(B7,near_miss_excel_view!$C:$C,near_miss_excel_view!K:K,"없음",0,1)</f>
        <v>위험을 생각하지 않음</v>
      </c>
      <c r="Q17" s="25"/>
      <c r="R17" s="25" t="str">
        <f>_xlfn.XLOOKUP(B7,near_miss_excel_view!$C:$C,near_miss_excel_view!L:L,"없음",0,1)</f>
        <v>서두름</v>
      </c>
      <c r="S17" s="25"/>
    </row>
    <row r="18" spans="1:19" s="26" customFormat="1" ht="15.75" customHeight="1">
      <c r="A18" s="46" t="s">
        <v>382</v>
      </c>
      <c r="B18" s="47"/>
      <c r="C18" s="48"/>
      <c r="D18" s="49" t="s">
        <v>383</v>
      </c>
      <c r="E18" s="50"/>
      <c r="F18" s="50"/>
      <c r="G18" s="51"/>
      <c r="H18" s="52"/>
      <c r="I18" s="53"/>
      <c r="J18" s="25"/>
      <c r="K18" s="25"/>
      <c r="L18" s="25"/>
      <c r="M18" s="25"/>
      <c r="N18" s="25"/>
      <c r="O18" s="25"/>
      <c r="P18" s="25"/>
      <c r="Q18" s="25"/>
      <c r="R18" s="25"/>
      <c r="S18" s="25"/>
    </row>
    <row r="19" spans="1:19" s="26" customFormat="1" ht="16.149999999999999" customHeight="1">
      <c r="A19" s="54"/>
      <c r="B19" s="55"/>
      <c r="C19" s="56"/>
      <c r="D19" s="57"/>
      <c r="E19" s="58"/>
      <c r="F19" s="58"/>
      <c r="G19" s="58"/>
      <c r="H19" s="58"/>
      <c r="I19" s="59"/>
      <c r="J19" s="25" t="s">
        <v>384</v>
      </c>
      <c r="K19" s="25" t="b">
        <f t="shared" ref="K19:K36" si="0">IF(J19=$J$17,TRUE,FALSE)</f>
        <v>0</v>
      </c>
      <c r="L19" s="25" t="s">
        <v>168</v>
      </c>
      <c r="M19" s="25" t="b">
        <f>IF($L$17=L19,TRUE,FALSE)</f>
        <v>0</v>
      </c>
      <c r="N19" s="25" t="s">
        <v>385</v>
      </c>
      <c r="O19" s="25" t="b">
        <f t="shared" ref="O19:O26" si="1">IF($N$17=N19,TRUE,FALSE)</f>
        <v>0</v>
      </c>
      <c r="P19" s="25" t="s">
        <v>35</v>
      </c>
      <c r="Q19" s="25" t="b">
        <f>IF($P$17=P19,TRUE,FALSE)</f>
        <v>0</v>
      </c>
      <c r="R19" s="25" t="s">
        <v>36</v>
      </c>
      <c r="S19" s="25" t="b">
        <f>IF($R$17=R19,TRUE,FALSE)</f>
        <v>1</v>
      </c>
    </row>
    <row r="20" spans="1:19" s="26" customFormat="1" ht="16.149999999999999" customHeight="1">
      <c r="A20" s="54"/>
      <c r="B20" s="55"/>
      <c r="C20" s="56"/>
      <c r="D20" s="60"/>
      <c r="E20" s="55"/>
      <c r="F20" s="55"/>
      <c r="G20" s="55"/>
      <c r="H20" s="55"/>
      <c r="I20" s="61"/>
      <c r="J20" s="25" t="s">
        <v>32</v>
      </c>
      <c r="K20" s="25" t="b">
        <f t="shared" si="0"/>
        <v>0</v>
      </c>
      <c r="L20" s="25" t="s">
        <v>386</v>
      </c>
      <c r="M20" s="25" t="b">
        <v>0</v>
      </c>
      <c r="N20" s="25" t="s">
        <v>387</v>
      </c>
      <c r="O20" s="25" t="b">
        <f t="shared" si="1"/>
        <v>0</v>
      </c>
      <c r="P20" s="25" t="s">
        <v>158</v>
      </c>
      <c r="Q20" s="25" t="b">
        <f>IF($P$17=P20,TRUE,FALSE)</f>
        <v>0</v>
      </c>
      <c r="R20" s="25" t="s">
        <v>388</v>
      </c>
      <c r="S20" s="25" t="b">
        <f>IF($R$17=R20,TRUE,FALSE)</f>
        <v>0</v>
      </c>
    </row>
    <row r="21" spans="1:19" s="26" customFormat="1" ht="16.149999999999999" customHeight="1">
      <c r="A21" s="54"/>
      <c r="B21" s="55"/>
      <c r="C21" s="56"/>
      <c r="D21" s="60"/>
      <c r="E21" s="55"/>
      <c r="F21" s="55"/>
      <c r="G21" s="55"/>
      <c r="H21" s="55"/>
      <c r="I21" s="61"/>
      <c r="J21" s="25" t="s">
        <v>389</v>
      </c>
      <c r="K21" s="25" t="b">
        <f t="shared" si="0"/>
        <v>1</v>
      </c>
      <c r="L21" s="25" t="s">
        <v>390</v>
      </c>
      <c r="M21" s="25" t="b">
        <f>IF($L$17=L21,TRUE,FALSE)</f>
        <v>0</v>
      </c>
      <c r="N21" s="25" t="s">
        <v>391</v>
      </c>
      <c r="O21" s="25" t="b">
        <f t="shared" si="1"/>
        <v>0</v>
      </c>
      <c r="P21" s="25" t="s">
        <v>169</v>
      </c>
      <c r="Q21" s="25" t="b">
        <f>IF($P$17=P21,TRUE,FALSE)</f>
        <v>0</v>
      </c>
      <c r="R21" s="25" t="s">
        <v>392</v>
      </c>
      <c r="S21" s="25" t="b">
        <f>IF($R$17=R21,TRUE,FALSE)</f>
        <v>0</v>
      </c>
    </row>
    <row r="22" spans="1:19" s="26" customFormat="1" ht="16.149999999999999" customHeight="1">
      <c r="A22" s="54"/>
      <c r="B22" s="55"/>
      <c r="C22" s="56"/>
      <c r="D22" s="60"/>
      <c r="E22" s="55"/>
      <c r="F22" s="55"/>
      <c r="G22" s="55"/>
      <c r="H22" s="55"/>
      <c r="I22" s="61"/>
      <c r="J22" s="25" t="s">
        <v>393</v>
      </c>
      <c r="K22" s="25" t="b">
        <f t="shared" si="0"/>
        <v>0</v>
      </c>
      <c r="L22" s="25" t="s">
        <v>394</v>
      </c>
      <c r="M22" s="25" t="b">
        <v>0</v>
      </c>
      <c r="N22" s="25" t="s">
        <v>395</v>
      </c>
      <c r="O22" s="25" t="b">
        <f t="shared" si="1"/>
        <v>0</v>
      </c>
      <c r="P22" s="25" t="s">
        <v>234</v>
      </c>
      <c r="Q22" s="25" t="b">
        <f>IF($P$17=P22,TRUE,FALSE)</f>
        <v>1</v>
      </c>
      <c r="R22" s="25" t="s">
        <v>396</v>
      </c>
      <c r="S22" s="25" t="b">
        <f>IF($R$17=R22,TRUE,FALSE)</f>
        <v>0</v>
      </c>
    </row>
    <row r="23" spans="1:19" s="26" customFormat="1" ht="16.149999999999999" customHeight="1">
      <c r="A23" s="54"/>
      <c r="B23" s="55"/>
      <c r="C23" s="56"/>
      <c r="D23" s="60"/>
      <c r="E23" s="55"/>
      <c r="F23" s="55"/>
      <c r="G23" s="55"/>
      <c r="H23" s="55"/>
      <c r="I23" s="61"/>
      <c r="J23" s="25" t="s">
        <v>397</v>
      </c>
      <c r="K23" s="25" t="b">
        <f t="shared" si="0"/>
        <v>0</v>
      </c>
      <c r="L23" s="25" t="s">
        <v>398</v>
      </c>
      <c r="M23" s="25" t="b">
        <v>0</v>
      </c>
      <c r="N23" s="25" t="s">
        <v>399</v>
      </c>
      <c r="O23" s="25" t="b">
        <f t="shared" si="1"/>
        <v>1</v>
      </c>
      <c r="P23" s="25"/>
      <c r="Q23" s="25"/>
      <c r="R23" s="25"/>
      <c r="S23" s="25"/>
    </row>
    <row r="24" spans="1:19" s="26" customFormat="1" ht="16.149999999999999" customHeight="1">
      <c r="A24" s="54"/>
      <c r="B24" s="55"/>
      <c r="C24" s="56"/>
      <c r="D24" s="60"/>
      <c r="E24" s="55"/>
      <c r="F24" s="55"/>
      <c r="G24" s="55"/>
      <c r="H24" s="55"/>
      <c r="I24" s="61"/>
      <c r="J24" s="25" t="s">
        <v>400</v>
      </c>
      <c r="K24" s="25" t="b">
        <f t="shared" si="0"/>
        <v>0</v>
      </c>
      <c r="L24" s="25" t="s">
        <v>401</v>
      </c>
      <c r="M24" s="25" t="b">
        <v>0</v>
      </c>
      <c r="N24" s="25" t="s">
        <v>233</v>
      </c>
      <c r="O24" s="25" t="b">
        <f t="shared" si="1"/>
        <v>0</v>
      </c>
      <c r="P24" s="25"/>
      <c r="Q24" s="25"/>
      <c r="R24" s="25"/>
      <c r="S24" s="25"/>
    </row>
    <row r="25" spans="1:19" s="26" customFormat="1" ht="16.149999999999999" customHeight="1">
      <c r="A25" s="54"/>
      <c r="B25" s="55"/>
      <c r="C25" s="56"/>
      <c r="D25" s="60"/>
      <c r="E25" s="55"/>
      <c r="F25" s="55"/>
      <c r="G25" s="55"/>
      <c r="H25" s="55"/>
      <c r="I25" s="61"/>
      <c r="J25" s="25" t="s">
        <v>402</v>
      </c>
      <c r="K25" s="25" t="b">
        <f t="shared" si="0"/>
        <v>0</v>
      </c>
      <c r="L25" s="25" t="s">
        <v>403</v>
      </c>
      <c r="M25" s="25" t="b">
        <f t="shared" ref="M25:M36" si="2">IF($L$17=L25,TRUE,FALSE)</f>
        <v>0</v>
      </c>
      <c r="N25" s="25" t="s">
        <v>239</v>
      </c>
      <c r="O25" s="25" t="b">
        <f t="shared" si="1"/>
        <v>0</v>
      </c>
      <c r="P25" s="25"/>
      <c r="Q25" s="25"/>
      <c r="R25" s="25"/>
      <c r="S25" s="25"/>
    </row>
    <row r="26" spans="1:19" s="26" customFormat="1" ht="16.149999999999999" customHeight="1">
      <c r="A26" s="54"/>
      <c r="B26" s="55"/>
      <c r="C26" s="56"/>
      <c r="D26" s="62"/>
      <c r="E26" s="63"/>
      <c r="F26" s="63"/>
      <c r="G26" s="63"/>
      <c r="H26" s="63"/>
      <c r="I26" s="64"/>
      <c r="J26" s="25" t="s">
        <v>232</v>
      </c>
      <c r="K26" s="25" t="b">
        <f t="shared" si="0"/>
        <v>0</v>
      </c>
      <c r="L26" s="25" t="s">
        <v>33</v>
      </c>
      <c r="M26" s="25" t="b">
        <f t="shared" si="2"/>
        <v>0</v>
      </c>
      <c r="N26" s="25" t="s">
        <v>34</v>
      </c>
      <c r="O26" s="25" t="b">
        <f t="shared" si="1"/>
        <v>0</v>
      </c>
      <c r="P26" s="25"/>
      <c r="Q26" s="25"/>
      <c r="R26" s="25"/>
      <c r="S26" s="25"/>
    </row>
    <row r="27" spans="1:19" s="26" customFormat="1" ht="15.75" customHeight="1">
      <c r="A27" s="54"/>
      <c r="B27" s="55"/>
      <c r="C27" s="56"/>
      <c r="D27" s="65" t="s">
        <v>404</v>
      </c>
      <c r="E27" s="66"/>
      <c r="F27" s="66"/>
      <c r="G27" s="67"/>
      <c r="H27" s="68"/>
      <c r="I27" s="69"/>
      <c r="J27" s="25" t="s">
        <v>405</v>
      </c>
      <c r="K27" s="25" t="b">
        <f t="shared" si="0"/>
        <v>0</v>
      </c>
      <c r="L27" s="25" t="s">
        <v>406</v>
      </c>
      <c r="M27" s="25" t="b">
        <f t="shared" si="2"/>
        <v>0</v>
      </c>
      <c r="N27" s="25"/>
      <c r="O27" s="25"/>
      <c r="P27" s="25"/>
      <c r="Q27" s="25"/>
      <c r="R27" s="25"/>
      <c r="S27" s="25"/>
    </row>
    <row r="28" spans="1:19" s="26" customFormat="1" ht="16.5" customHeight="1">
      <c r="A28" s="54"/>
      <c r="B28" s="55"/>
      <c r="C28" s="56"/>
      <c r="D28" s="70"/>
      <c r="E28" s="71"/>
      <c r="F28" s="71"/>
      <c r="G28" s="71"/>
      <c r="H28" s="71"/>
      <c r="I28" s="72"/>
      <c r="J28" s="25" t="s">
        <v>407</v>
      </c>
      <c r="K28" s="25" t="b">
        <f t="shared" si="0"/>
        <v>0</v>
      </c>
      <c r="L28" s="25" t="s">
        <v>408</v>
      </c>
      <c r="M28" s="25" t="b">
        <f t="shared" si="2"/>
        <v>0</v>
      </c>
      <c r="N28" s="25"/>
      <c r="O28" s="25"/>
      <c r="P28" s="25"/>
      <c r="Q28" s="25"/>
      <c r="R28" s="25"/>
      <c r="S28" s="25"/>
    </row>
    <row r="29" spans="1:19" s="26" customFormat="1" ht="16.5" customHeight="1">
      <c r="A29" s="54"/>
      <c r="B29" s="55"/>
      <c r="C29" s="56"/>
      <c r="D29" s="73"/>
      <c r="E29" s="74"/>
      <c r="F29" s="74"/>
      <c r="G29" s="74"/>
      <c r="H29" s="74"/>
      <c r="I29" s="75"/>
      <c r="J29" s="25" t="s">
        <v>34</v>
      </c>
      <c r="K29" s="25" t="b">
        <f t="shared" si="0"/>
        <v>0</v>
      </c>
      <c r="L29" s="25" t="s">
        <v>34</v>
      </c>
      <c r="M29" s="25" t="b">
        <f t="shared" si="2"/>
        <v>0</v>
      </c>
      <c r="N29" s="25"/>
      <c r="O29" s="25"/>
      <c r="P29" s="25"/>
      <c r="Q29" s="25"/>
      <c r="R29" s="25"/>
      <c r="S29" s="25"/>
    </row>
    <row r="30" spans="1:19" s="26" customFormat="1" ht="16.5" customHeight="1">
      <c r="A30" s="54"/>
      <c r="B30" s="55"/>
      <c r="C30" s="56"/>
      <c r="D30" s="73"/>
      <c r="E30" s="74"/>
      <c r="F30" s="74"/>
      <c r="G30" s="74"/>
      <c r="H30" s="74"/>
      <c r="I30" s="75"/>
      <c r="J30" s="25" t="s">
        <v>409</v>
      </c>
      <c r="K30" s="25" t="b">
        <f t="shared" si="0"/>
        <v>0</v>
      </c>
      <c r="L30" s="25" t="s">
        <v>410</v>
      </c>
      <c r="M30" s="25" t="b">
        <f t="shared" si="2"/>
        <v>1</v>
      </c>
      <c r="N30" s="25"/>
      <c r="O30" s="25"/>
      <c r="P30" s="25"/>
      <c r="Q30" s="25"/>
      <c r="R30" s="25"/>
      <c r="S30" s="25"/>
    </row>
    <row r="31" spans="1:19" s="26" customFormat="1" ht="16.5" customHeight="1">
      <c r="A31" s="54"/>
      <c r="B31" s="55"/>
      <c r="C31" s="56"/>
      <c r="D31" s="73"/>
      <c r="E31" s="74"/>
      <c r="F31" s="74"/>
      <c r="G31" s="74"/>
      <c r="H31" s="74"/>
      <c r="I31" s="75"/>
      <c r="J31" s="25" t="s">
        <v>411</v>
      </c>
      <c r="K31" s="25" t="b">
        <f t="shared" si="0"/>
        <v>0</v>
      </c>
      <c r="L31" s="25" t="s">
        <v>412</v>
      </c>
      <c r="M31" s="25" t="b">
        <f t="shared" si="2"/>
        <v>0</v>
      </c>
      <c r="N31" s="25"/>
      <c r="O31" s="25"/>
      <c r="P31" s="25"/>
      <c r="Q31" s="25"/>
      <c r="R31" s="25"/>
      <c r="S31" s="25"/>
    </row>
    <row r="32" spans="1:19" s="26" customFormat="1" ht="16.5" customHeight="1">
      <c r="A32" s="54"/>
      <c r="B32" s="55"/>
      <c r="C32" s="56"/>
      <c r="D32" s="73"/>
      <c r="E32" s="74"/>
      <c r="F32" s="74"/>
      <c r="G32" s="74"/>
      <c r="H32" s="74"/>
      <c r="I32" s="75"/>
      <c r="J32" s="25" t="s">
        <v>413</v>
      </c>
      <c r="K32" s="25" t="b">
        <f t="shared" si="0"/>
        <v>0</v>
      </c>
      <c r="L32" s="25" t="s">
        <v>414</v>
      </c>
      <c r="M32" s="25" t="b">
        <f t="shared" si="2"/>
        <v>0</v>
      </c>
      <c r="N32" s="25"/>
      <c r="O32" s="25"/>
      <c r="P32" s="25"/>
      <c r="Q32" s="25"/>
      <c r="R32" s="25"/>
      <c r="S32" s="25"/>
    </row>
    <row r="33" spans="1:19" s="26" customFormat="1" ht="16.5" customHeight="1">
      <c r="A33" s="54"/>
      <c r="B33" s="55"/>
      <c r="C33" s="56"/>
      <c r="D33" s="73"/>
      <c r="E33" s="74"/>
      <c r="F33" s="74"/>
      <c r="G33" s="74"/>
      <c r="H33" s="74"/>
      <c r="I33" s="75"/>
      <c r="J33" s="25" t="s">
        <v>415</v>
      </c>
      <c r="K33" s="25" t="b">
        <f t="shared" si="0"/>
        <v>0</v>
      </c>
      <c r="L33" s="25" t="s">
        <v>240</v>
      </c>
      <c r="M33" s="25" t="b">
        <f t="shared" si="2"/>
        <v>0</v>
      </c>
      <c r="N33" s="25"/>
      <c r="O33" s="25"/>
      <c r="P33" s="25"/>
      <c r="Q33" s="25"/>
      <c r="R33" s="25"/>
      <c r="S33" s="25"/>
    </row>
    <row r="34" spans="1:19" s="26" customFormat="1" ht="16.5" customHeight="1" thickBot="1">
      <c r="A34" s="76"/>
      <c r="B34" s="77"/>
      <c r="C34" s="78"/>
      <c r="D34" s="79"/>
      <c r="E34" s="80"/>
      <c r="F34" s="80"/>
      <c r="G34" s="80"/>
      <c r="H34" s="80"/>
      <c r="I34" s="81"/>
      <c r="J34" s="25" t="s">
        <v>416</v>
      </c>
      <c r="K34" s="25" t="b">
        <f t="shared" si="0"/>
        <v>0</v>
      </c>
      <c r="L34" s="25" t="s">
        <v>417</v>
      </c>
      <c r="M34" s="25" t="b">
        <f t="shared" si="2"/>
        <v>0</v>
      </c>
      <c r="N34" s="25"/>
      <c r="O34" s="25"/>
      <c r="P34" s="25"/>
      <c r="Q34" s="25"/>
      <c r="R34" s="25"/>
      <c r="S34" s="25"/>
    </row>
    <row r="35" spans="1:19" s="26" customFormat="1" ht="16.5" customHeight="1">
      <c r="A35" s="82" t="s">
        <v>418</v>
      </c>
      <c r="B35" s="83" t="s">
        <v>419</v>
      </c>
      <c r="C35" s="84"/>
      <c r="D35" s="84"/>
      <c r="E35" s="84"/>
      <c r="F35" s="84"/>
      <c r="G35" s="84"/>
      <c r="H35" s="85"/>
      <c r="I35" s="33"/>
      <c r="J35" s="25" t="s">
        <v>420</v>
      </c>
      <c r="K35" s="25" t="b">
        <f t="shared" si="0"/>
        <v>0</v>
      </c>
      <c r="L35" s="25" t="s">
        <v>421</v>
      </c>
      <c r="M35" s="25" t="b">
        <f t="shared" si="2"/>
        <v>0</v>
      </c>
      <c r="N35" s="25"/>
      <c r="O35" s="25"/>
      <c r="P35" s="25"/>
      <c r="Q35" s="25"/>
      <c r="R35" s="25"/>
      <c r="S35" s="25"/>
    </row>
    <row r="36" spans="1:19" s="26" customFormat="1" ht="16.5" customHeight="1">
      <c r="A36" s="82" t="s">
        <v>422</v>
      </c>
      <c r="B36" s="86" t="str">
        <f>_xlfn.LET(
_xlpm.RESULT, _xlfn.XLOOKUP(B7,near_miss_excel_view!C:C,near_miss_excel_view!N:N,"없음",0,1),
_xlpm.ANOTHER, _xlfn.XLOOKUP(B7,near_miss_excel_view!C:C,near_miss_excel_view!M:M,"없음",0,1),
IF(_xlpm.RESULT="",_xlpm.ANOTHER,_xlpm.RESULT))</f>
        <v>재발을 방지하기 위해 헤드 라이트를 사용 후 고개와 허리를 숙이며 안전 난간을 잡고 조심히 이동하였습니다.</v>
      </c>
      <c r="C36" s="87"/>
      <c r="D36" s="87"/>
      <c r="E36" s="87"/>
      <c r="F36" s="87"/>
      <c r="G36" s="87"/>
      <c r="H36" s="87"/>
      <c r="I36" s="88"/>
      <c r="J36" s="25" t="s">
        <v>423</v>
      </c>
      <c r="K36" s="25" t="b">
        <f t="shared" si="0"/>
        <v>0</v>
      </c>
      <c r="L36" s="25" t="s">
        <v>424</v>
      </c>
      <c r="M36" s="25" t="b">
        <f t="shared" si="2"/>
        <v>0</v>
      </c>
      <c r="N36" s="25"/>
      <c r="O36" s="25"/>
      <c r="P36" s="25"/>
      <c r="Q36" s="25"/>
      <c r="R36" s="25"/>
      <c r="S36" s="25"/>
    </row>
    <row r="37" spans="1:19" s="26" customFormat="1" ht="27.75" customHeight="1">
      <c r="A37" s="82" t="s">
        <v>425</v>
      </c>
      <c r="B37" s="86"/>
      <c r="C37" s="87"/>
      <c r="D37" s="87"/>
      <c r="E37" s="87"/>
      <c r="F37" s="87"/>
      <c r="G37" s="87"/>
      <c r="H37" s="87"/>
      <c r="I37" s="88"/>
      <c r="J37" s="25"/>
      <c r="K37" s="25"/>
      <c r="L37" s="25"/>
      <c r="M37" s="25"/>
      <c r="N37" s="25"/>
      <c r="O37" s="25"/>
      <c r="P37" s="25"/>
      <c r="Q37" s="25"/>
      <c r="R37" s="25"/>
      <c r="S37" s="25"/>
    </row>
    <row r="38" spans="1:19" s="26" customFormat="1" ht="16.5" customHeight="1" thickBot="1">
      <c r="A38" s="89"/>
      <c r="B38" s="90"/>
      <c r="C38" s="91"/>
      <c r="D38" s="91"/>
      <c r="E38" s="91"/>
      <c r="F38" s="91"/>
      <c r="G38" s="91"/>
      <c r="H38" s="91"/>
      <c r="I38" s="92"/>
      <c r="J38" s="25"/>
      <c r="K38" s="25"/>
      <c r="L38" s="25"/>
      <c r="M38" s="25"/>
      <c r="N38" s="25"/>
      <c r="O38" s="25"/>
      <c r="P38" s="25"/>
      <c r="Q38" s="25"/>
      <c r="R38" s="25"/>
      <c r="S38" s="25"/>
    </row>
    <row r="39" spans="1:19" s="26" customFormat="1" ht="18.75" customHeight="1" thickBot="1">
      <c r="A39" s="93" t="s">
        <v>426</v>
      </c>
      <c r="B39" s="94"/>
      <c r="C39" s="94"/>
      <c r="D39" s="94"/>
      <c r="E39" s="94"/>
      <c r="F39" s="94"/>
      <c r="G39" s="94"/>
      <c r="H39" s="94"/>
      <c r="I39" s="95"/>
      <c r="J39" s="25"/>
      <c r="K39" s="25"/>
      <c r="L39" s="25"/>
      <c r="M39" s="25"/>
      <c r="N39" s="25"/>
      <c r="O39" s="25"/>
      <c r="P39" s="25"/>
      <c r="Q39" s="25"/>
      <c r="R39" s="25"/>
      <c r="S39" s="25"/>
    </row>
    <row r="40" spans="1:19" s="26" customFormat="1" ht="18" thickTop="1">
      <c r="A40" s="82" t="s">
        <v>427</v>
      </c>
      <c r="B40" s="83" t="s">
        <v>428</v>
      </c>
      <c r="C40" s="84"/>
      <c r="D40" s="84"/>
      <c r="E40" s="84"/>
      <c r="F40" s="84"/>
      <c r="G40" s="84"/>
      <c r="H40" s="85"/>
      <c r="I40" s="33"/>
      <c r="J40" s="25"/>
      <c r="K40" s="25"/>
      <c r="L40" s="25"/>
      <c r="M40" s="25"/>
      <c r="N40" s="25"/>
      <c r="O40" s="25"/>
      <c r="P40" s="25"/>
      <c r="Q40" s="25"/>
      <c r="R40" s="25"/>
      <c r="S40" s="25"/>
    </row>
    <row r="41" spans="1:19" s="26" customFormat="1">
      <c r="A41" s="96" t="s">
        <v>429</v>
      </c>
      <c r="B41" s="97"/>
      <c r="C41" s="98"/>
      <c r="D41" s="98"/>
      <c r="E41" s="98"/>
      <c r="F41" s="98"/>
      <c r="G41" s="98"/>
      <c r="H41" s="98"/>
      <c r="I41" s="99"/>
      <c r="J41" s="25"/>
      <c r="K41" s="25"/>
      <c r="L41" s="25"/>
      <c r="M41" s="25"/>
      <c r="N41" s="25"/>
      <c r="O41" s="25"/>
      <c r="P41" s="25"/>
      <c r="Q41" s="25"/>
      <c r="R41" s="25"/>
      <c r="S41" s="25"/>
    </row>
    <row r="42" spans="1:19" s="26" customFormat="1" ht="27.75" customHeight="1">
      <c r="A42" s="96" t="s">
        <v>430</v>
      </c>
      <c r="B42" s="97"/>
      <c r="C42" s="98"/>
      <c r="D42" s="98"/>
      <c r="E42" s="98"/>
      <c r="F42" s="98"/>
      <c r="G42" s="98"/>
      <c r="H42" s="98"/>
      <c r="I42" s="99"/>
      <c r="J42" s="25"/>
      <c r="K42" s="25"/>
      <c r="L42" s="25"/>
      <c r="M42" s="25"/>
      <c r="N42" s="25"/>
      <c r="O42" s="25"/>
      <c r="P42" s="25"/>
      <c r="Q42" s="25"/>
      <c r="R42" s="25"/>
      <c r="S42" s="25"/>
    </row>
    <row r="43" spans="1:19" s="26" customFormat="1" ht="18" thickBot="1">
      <c r="A43" s="100"/>
      <c r="B43" s="101"/>
      <c r="C43" s="102"/>
      <c r="D43" s="102"/>
      <c r="E43" s="102"/>
      <c r="F43" s="102"/>
      <c r="G43" s="102"/>
      <c r="H43" s="102"/>
      <c r="I43" s="103"/>
      <c r="J43" s="25"/>
      <c r="K43" s="25"/>
      <c r="L43" s="25"/>
      <c r="M43" s="25"/>
      <c r="N43" s="25"/>
      <c r="O43" s="25"/>
      <c r="P43" s="25"/>
      <c r="Q43" s="25"/>
      <c r="R43" s="25"/>
      <c r="S43" s="25"/>
    </row>
    <row r="44" spans="1:19" s="26" customFormat="1" ht="17.25" customHeight="1" thickBot="1">
      <c r="A44" s="104" t="s">
        <v>431</v>
      </c>
      <c r="B44" s="105" t="s">
        <v>432</v>
      </c>
      <c r="C44" s="106" t="s">
        <v>433</v>
      </c>
      <c r="D44" s="107"/>
      <c r="E44" s="108"/>
      <c r="F44" s="109" t="s">
        <v>434</v>
      </c>
      <c r="G44" s="110"/>
      <c r="H44" s="110"/>
      <c r="I44" s="111"/>
      <c r="J44" s="25"/>
      <c r="K44" s="25"/>
      <c r="L44" s="25"/>
      <c r="M44" s="25"/>
      <c r="N44" s="25"/>
      <c r="O44" s="25"/>
      <c r="P44" s="25"/>
      <c r="Q44" s="25"/>
      <c r="R44" s="25"/>
      <c r="S44" s="25"/>
    </row>
    <row r="45" spans="1:19" s="26" customFormat="1" ht="18.75" customHeight="1" thickBot="1">
      <c r="A45" s="93" t="s">
        <v>435</v>
      </c>
      <c r="B45" s="94"/>
      <c r="C45" s="94"/>
      <c r="D45" s="94"/>
      <c r="E45" s="94"/>
      <c r="F45" s="94"/>
      <c r="G45" s="94"/>
      <c r="H45" s="94"/>
      <c r="I45" s="95"/>
      <c r="J45" s="25"/>
      <c r="K45" s="25"/>
      <c r="L45" s="25"/>
      <c r="M45" s="25"/>
      <c r="N45" s="25"/>
      <c r="O45" s="25"/>
      <c r="P45" s="25"/>
      <c r="Q45" s="25"/>
      <c r="R45" s="25"/>
      <c r="S45" s="25"/>
    </row>
    <row r="46" spans="1:19" s="26" customFormat="1" ht="17.25" customHeight="1" thickTop="1" thickBot="1">
      <c r="A46" s="112" t="s">
        <v>436</v>
      </c>
      <c r="B46" s="113" t="s">
        <v>437</v>
      </c>
      <c r="C46" s="114" t="s">
        <v>433</v>
      </c>
      <c r="D46" s="115"/>
      <c r="E46" s="116"/>
      <c r="F46" s="117"/>
      <c r="G46" s="118"/>
      <c r="H46" s="118"/>
      <c r="I46" s="119"/>
      <c r="J46" s="25"/>
      <c r="K46" s="25"/>
      <c r="L46" s="25"/>
      <c r="M46" s="25"/>
      <c r="N46" s="25"/>
      <c r="O46" s="25"/>
      <c r="P46" s="25"/>
      <c r="Q46" s="25"/>
      <c r="R46" s="25"/>
      <c r="S46" s="25"/>
    </row>
    <row r="47" spans="1:19" s="26" customFormat="1" ht="18.75" thickTop="1" thickBot="1">
      <c r="A47" s="120" t="s">
        <v>438</v>
      </c>
      <c r="B47" s="121"/>
      <c r="C47" s="121"/>
      <c r="D47" s="121"/>
      <c r="E47" s="121"/>
      <c r="F47" s="121"/>
      <c r="G47" s="121"/>
      <c r="H47" s="121"/>
      <c r="I47" s="122"/>
      <c r="J47" s="25"/>
      <c r="K47" s="25"/>
      <c r="L47" s="25"/>
      <c r="M47" s="25"/>
      <c r="N47" s="25"/>
      <c r="O47" s="25"/>
      <c r="P47" s="25"/>
      <c r="Q47" s="25"/>
      <c r="R47" s="25"/>
      <c r="S47" s="25"/>
    </row>
    <row r="48" spans="1:19">
      <c r="A48" s="123" t="s">
        <v>439</v>
      </c>
    </row>
  </sheetData>
  <mergeCells count="23">
    <mergeCell ref="C46:E46"/>
    <mergeCell ref="F46:I46"/>
    <mergeCell ref="A47:I47"/>
    <mergeCell ref="B36:I38"/>
    <mergeCell ref="A39:I39"/>
    <mergeCell ref="B41:I43"/>
    <mergeCell ref="C44:E44"/>
    <mergeCell ref="F44:I44"/>
    <mergeCell ref="A45:I45"/>
    <mergeCell ref="B11:I16"/>
    <mergeCell ref="A17:I17"/>
    <mergeCell ref="A18:C18"/>
    <mergeCell ref="G18:I18"/>
    <mergeCell ref="A19:B34"/>
    <mergeCell ref="D19:I26"/>
    <mergeCell ref="G27:I27"/>
    <mergeCell ref="D28:I34"/>
    <mergeCell ref="B1:H2"/>
    <mergeCell ref="H5:I5"/>
    <mergeCell ref="B6:C6"/>
    <mergeCell ref="E6:F6"/>
    <mergeCell ref="H6:I6"/>
    <mergeCell ref="B7:I7"/>
  </mergeCells>
  <phoneticPr fontId="1" type="noConversion"/>
  <printOptions horizontalCentered="1" gridLinesSet="0"/>
  <pageMargins left="0.23622047244094491" right="0.27559055118110237" top="0.55118110236220474" bottom="0" header="0.51181102362204722" footer="0.31496062992125984"/>
  <pageSetup paperSize="9" scale="94" fitToHeight="0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Check Box 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400050</xdr:colOff>
                    <xdr:row>28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r:id="rId5" name="Check Box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28</xdr:row>
                    <xdr:rowOff>142875</xdr:rowOff>
                  </from>
                  <to>
                    <xdr:col>4</xdr:col>
                    <xdr:colOff>400050</xdr:colOff>
                    <xdr:row>29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3" r:id="rId6" name="Check Box 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29</xdr:row>
                    <xdr:rowOff>114300</xdr:rowOff>
                  </from>
                  <to>
                    <xdr:col>4</xdr:col>
                    <xdr:colOff>400050</xdr:colOff>
                    <xdr:row>30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4" r:id="rId7" name="Check Box 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30</xdr:row>
                    <xdr:rowOff>76200</xdr:rowOff>
                  </from>
                  <to>
                    <xdr:col>4</xdr:col>
                    <xdr:colOff>400050</xdr:colOff>
                    <xdr:row>31</xdr:row>
                    <xdr:rowOff>123825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5" r:id="rId8" name="Check Box 5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31</xdr:row>
                    <xdr:rowOff>38100</xdr:rowOff>
                  </from>
                  <to>
                    <xdr:col>4</xdr:col>
                    <xdr:colOff>400050</xdr:colOff>
                    <xdr:row>32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6" r:id="rId9" name="Check Box 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9525</xdr:rowOff>
                  </from>
                  <to>
                    <xdr:col>4</xdr:col>
                    <xdr:colOff>400050</xdr:colOff>
                    <xdr:row>33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7" r:id="rId10" name="Check Box 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27</xdr:row>
                    <xdr:rowOff>180975</xdr:rowOff>
                  </from>
                  <to>
                    <xdr:col>4</xdr:col>
                    <xdr:colOff>400050</xdr:colOff>
                    <xdr:row>29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8" r:id="rId11" name="Check Box 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32</xdr:row>
                    <xdr:rowOff>190500</xdr:rowOff>
                  </from>
                  <to>
                    <xdr:col>4</xdr:col>
                    <xdr:colOff>400050</xdr:colOff>
                    <xdr:row>34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9" r:id="rId12" name="Check Box 9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28</xdr:row>
                    <xdr:rowOff>85725</xdr:rowOff>
                  </from>
                  <to>
                    <xdr:col>7</xdr:col>
                    <xdr:colOff>342900</xdr:colOff>
                    <xdr:row>29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0" r:id="rId13" name="Check Box 10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29</xdr:row>
                    <xdr:rowOff>57150</xdr:rowOff>
                  </from>
                  <to>
                    <xdr:col>7</xdr:col>
                    <xdr:colOff>733425</xdr:colOff>
                    <xdr:row>30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1" r:id="rId14" name="Check Box 11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29</xdr:row>
                    <xdr:rowOff>66675</xdr:rowOff>
                  </from>
                  <to>
                    <xdr:col>9</xdr:col>
                    <xdr:colOff>28575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2" r:id="rId15" name="Check Box 12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30</xdr:row>
                    <xdr:rowOff>38100</xdr:rowOff>
                  </from>
                  <to>
                    <xdr:col>9</xdr:col>
                    <xdr:colOff>28575</xdr:colOff>
                    <xdr:row>30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3" r:id="rId16" name="Check Box 13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31</xdr:row>
                    <xdr:rowOff>19050</xdr:rowOff>
                  </from>
                  <to>
                    <xdr:col>8</xdr:col>
                    <xdr:colOff>790575</xdr:colOff>
                    <xdr:row>31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4" r:id="rId17" name="Check Box 14">
              <controlPr defaultSize="0" autoFill="0" autoLine="0" autoPict="0">
                <anchor moveWithCells="1" sizeWithCells="1">
                  <from>
                    <xdr:col>8</xdr:col>
                    <xdr:colOff>66675</xdr:colOff>
                    <xdr:row>32</xdr:row>
                    <xdr:rowOff>28575</xdr:rowOff>
                  </from>
                  <to>
                    <xdr:col>9</xdr:col>
                    <xdr:colOff>28575</xdr:colOff>
                    <xdr:row>32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5" r:id="rId18" name="Check Box 15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23</xdr:row>
                    <xdr:rowOff>57150</xdr:rowOff>
                  </from>
                  <to>
                    <xdr:col>7</xdr:col>
                    <xdr:colOff>419100</xdr:colOff>
                    <xdr:row>24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6" r:id="rId19" name="Check Box 16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9525</xdr:rowOff>
                  </from>
                  <to>
                    <xdr:col>7</xdr:col>
                    <xdr:colOff>219075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7" r:id="rId20" name="Check Box 17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18</xdr:row>
                    <xdr:rowOff>47625</xdr:rowOff>
                  </from>
                  <to>
                    <xdr:col>7</xdr:col>
                    <xdr:colOff>762000</xdr:colOff>
                    <xdr:row>18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8" r:id="rId21" name="Check Box 18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</xdr:rowOff>
                  </from>
                  <to>
                    <xdr:col>7</xdr:col>
                    <xdr:colOff>762000</xdr:colOff>
                    <xdr:row>19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39" r:id="rId22" name="Check Box 19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19</xdr:row>
                    <xdr:rowOff>190500</xdr:rowOff>
                  </from>
                  <to>
                    <xdr:col>7</xdr:col>
                    <xdr:colOff>762000</xdr:colOff>
                    <xdr:row>20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40" r:id="rId23" name="Check Box 20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20</xdr:row>
                    <xdr:rowOff>161925</xdr:rowOff>
                  </from>
                  <to>
                    <xdr:col>7</xdr:col>
                    <xdr:colOff>762000</xdr:colOff>
                    <xdr:row>21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41" r:id="rId24" name="Check Box 21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21</xdr:row>
                    <xdr:rowOff>104775</xdr:rowOff>
                  </from>
                  <to>
                    <xdr:col>7</xdr:col>
                    <xdr:colOff>609600</xdr:colOff>
                    <xdr:row>22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42" r:id="rId25" name="Check Box 22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22</xdr:row>
                    <xdr:rowOff>104775</xdr:rowOff>
                  </from>
                  <to>
                    <xdr:col>7</xdr:col>
                    <xdr:colOff>609600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43" r:id="rId26" name="Check Box 23">
              <controlPr defaultSize="0" autoFill="0" autoLine="0" autoPict="0">
                <anchor moveWithCells="1" sizeWithCells="1">
                  <from>
                    <xdr:col>5</xdr:col>
                    <xdr:colOff>581025</xdr:colOff>
                    <xdr:row>24</xdr:row>
                    <xdr:rowOff>171450</xdr:rowOff>
                  </from>
                  <to>
                    <xdr:col>7</xdr:col>
                    <xdr:colOff>276225</xdr:colOff>
                    <xdr:row>25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44" r:id="rId27" name="Check Box 24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19050</xdr:rowOff>
                  </from>
                  <to>
                    <xdr:col>7</xdr:col>
                    <xdr:colOff>342900</xdr:colOff>
                    <xdr:row>32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45" r:id="rId28" name="Check Box 25">
              <controlPr defaultSize="0" autoFill="0" autoLine="0" autoPict="0">
                <anchor moveWithCells="1" sizeWithCells="1">
                  <from>
                    <xdr:col>5</xdr:col>
                    <xdr:colOff>266700</xdr:colOff>
                    <xdr:row>31</xdr:row>
                    <xdr:rowOff>200025</xdr:rowOff>
                  </from>
                  <to>
                    <xdr:col>7</xdr:col>
                    <xdr:colOff>733425</xdr:colOff>
                    <xdr:row>32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46" r:id="rId29" name="Check Box 26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23</xdr:row>
                    <xdr:rowOff>57150</xdr:rowOff>
                  </from>
                  <to>
                    <xdr:col>4</xdr:col>
                    <xdr:colOff>342900</xdr:colOff>
                    <xdr:row>24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47" r:id="rId30" name="Check Box 27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24</xdr:row>
                    <xdr:rowOff>28575</xdr:rowOff>
                  </from>
                  <to>
                    <xdr:col>4</xdr:col>
                    <xdr:colOff>161925</xdr:colOff>
                    <xdr:row>24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48" r:id="rId31" name="Check Box 28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18</xdr:row>
                    <xdr:rowOff>47625</xdr:rowOff>
                  </from>
                  <to>
                    <xdr:col>5</xdr:col>
                    <xdr:colOff>47625</xdr:colOff>
                    <xdr:row>19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49" r:id="rId32" name="Check Box 29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</xdr:rowOff>
                  </from>
                  <to>
                    <xdr:col>5</xdr:col>
                    <xdr:colOff>47625</xdr:colOff>
                    <xdr:row>19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0" r:id="rId33" name="Check Box 30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19</xdr:row>
                    <xdr:rowOff>190500</xdr:rowOff>
                  </from>
                  <to>
                    <xdr:col>5</xdr:col>
                    <xdr:colOff>47625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1" r:id="rId34" name="Check Box 31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20</xdr:row>
                    <xdr:rowOff>161925</xdr:rowOff>
                  </from>
                  <to>
                    <xdr:col>5</xdr:col>
                    <xdr:colOff>47625</xdr:colOff>
                    <xdr:row>21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2" r:id="rId35" name="Check Box 3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21</xdr:row>
                    <xdr:rowOff>133350</xdr:rowOff>
                  </from>
                  <to>
                    <xdr:col>4</xdr:col>
                    <xdr:colOff>514350</xdr:colOff>
                    <xdr:row>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3" r:id="rId36" name="Check Box 33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22</xdr:row>
                    <xdr:rowOff>104775</xdr:rowOff>
                  </from>
                  <to>
                    <xdr:col>4</xdr:col>
                    <xdr:colOff>514350</xdr:colOff>
                    <xdr:row>23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4" r:id="rId37" name="Check Box 34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25</xdr:row>
                    <xdr:rowOff>19050</xdr:rowOff>
                  </from>
                  <to>
                    <xdr:col>4</xdr:col>
                    <xdr:colOff>209550</xdr:colOff>
                    <xdr:row>25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5" r:id="rId38" name="Check Box 35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28</xdr:row>
                    <xdr:rowOff>171450</xdr:rowOff>
                  </from>
                  <to>
                    <xdr:col>1</xdr:col>
                    <xdr:colOff>695325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6" r:id="rId39" name="Check Box 36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29</xdr:row>
                    <xdr:rowOff>180975</xdr:rowOff>
                  </from>
                  <to>
                    <xdr:col>1</xdr:col>
                    <xdr:colOff>542925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7" r:id="rId40" name="Check Box 37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22</xdr:row>
                    <xdr:rowOff>114300</xdr:rowOff>
                  </from>
                  <to>
                    <xdr:col>2</xdr:col>
                    <xdr:colOff>95250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8" r:id="rId41" name="Check Box 38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23</xdr:row>
                    <xdr:rowOff>123825</xdr:rowOff>
                  </from>
                  <to>
                    <xdr:col>2</xdr:col>
                    <xdr:colOff>95250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59" r:id="rId42" name="Check Box 39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24</xdr:row>
                    <xdr:rowOff>123825</xdr:rowOff>
                  </from>
                  <to>
                    <xdr:col>2</xdr:col>
                    <xdr:colOff>95250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0" r:id="rId43" name="Check Box 40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25</xdr:row>
                    <xdr:rowOff>133350</xdr:rowOff>
                  </from>
                  <to>
                    <xdr:col>2</xdr:col>
                    <xdr:colOff>95250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1" r:id="rId44" name="Check Box 41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26</xdr:row>
                    <xdr:rowOff>133350</xdr:rowOff>
                  </from>
                  <to>
                    <xdr:col>1</xdr:col>
                    <xdr:colOff>828675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2" r:id="rId45" name="Check Box 42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27</xdr:row>
                    <xdr:rowOff>142875</xdr:rowOff>
                  </from>
                  <to>
                    <xdr:col>1</xdr:col>
                    <xdr:colOff>828675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3" r:id="rId46" name="Check Box 43">
              <controlPr defaultSize="0" autoFill="0" autoLine="0" autoPict="0">
                <anchor moveWithCells="1" sizeWithCells="1">
                  <from>
                    <xdr:col>0</xdr:col>
                    <xdr:colOff>1495425</xdr:colOff>
                    <xdr:row>30</xdr:row>
                    <xdr:rowOff>180975</xdr:rowOff>
                  </from>
                  <to>
                    <xdr:col>1</xdr:col>
                    <xdr:colOff>590550</xdr:colOff>
                    <xdr:row>31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4" r:id="rId47" name="Check Box 44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28</xdr:row>
                    <xdr:rowOff>171450</xdr:rowOff>
                  </from>
                  <to>
                    <xdr:col>0</xdr:col>
                    <xdr:colOff>1200150</xdr:colOff>
                    <xdr:row>29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5" r:id="rId48" name="Check Box 45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29</xdr:row>
                    <xdr:rowOff>180975</xdr:rowOff>
                  </from>
                  <to>
                    <xdr:col>0</xdr:col>
                    <xdr:colOff>1095375</xdr:colOff>
                    <xdr:row>30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6" r:id="rId49" name="Check Box 46">
              <controlPr defaultSize="0" autoFill="0" autoLine="0" autoPict="0" altText="추락">
                <anchor moveWithCells="1" sizeWithCells="1">
                  <from>
                    <xdr:col>0</xdr:col>
                    <xdr:colOff>590550</xdr:colOff>
                    <xdr:row>22</xdr:row>
                    <xdr:rowOff>114300</xdr:rowOff>
                  </from>
                  <to>
                    <xdr:col>0</xdr:col>
                    <xdr:colOff>1390650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7" r:id="rId50" name="Check Box 47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23</xdr:row>
                    <xdr:rowOff>123825</xdr:rowOff>
                  </from>
                  <to>
                    <xdr:col>0</xdr:col>
                    <xdr:colOff>1390650</xdr:colOff>
                    <xdr:row>24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8" r:id="rId51" name="Check Box 48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24</xdr:row>
                    <xdr:rowOff>123825</xdr:rowOff>
                  </from>
                  <to>
                    <xdr:col>0</xdr:col>
                    <xdr:colOff>1390650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69" r:id="rId52" name="Check Box 49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25</xdr:row>
                    <xdr:rowOff>133350</xdr:rowOff>
                  </from>
                  <to>
                    <xdr:col>0</xdr:col>
                    <xdr:colOff>1390650</xdr:colOff>
                    <xdr:row>26</xdr:row>
                    <xdr:rowOff>57150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70" r:id="rId53" name="Check Box 50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26</xdr:row>
                    <xdr:rowOff>133350</xdr:rowOff>
                  </from>
                  <to>
                    <xdr:col>0</xdr:col>
                    <xdr:colOff>1304925</xdr:colOff>
                    <xdr:row>27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71" r:id="rId54" name="Check Box 51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27</xdr:row>
                    <xdr:rowOff>142875</xdr:rowOff>
                  </from>
                  <to>
                    <xdr:col>0</xdr:col>
                    <xdr:colOff>1304925</xdr:colOff>
                    <xdr:row>28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72" r:id="rId55" name="Check Box 52">
              <controlPr defaultSize="0" autoFill="0" autoLine="0" autoPict="0">
                <anchor moveWithCells="1" sizeWithCells="1">
                  <from>
                    <xdr:col>0</xdr:col>
                    <xdr:colOff>590550</xdr:colOff>
                    <xdr:row>30</xdr:row>
                    <xdr:rowOff>180975</xdr:rowOff>
                  </from>
                  <to>
                    <xdr:col>0</xdr:col>
                    <xdr:colOff>1123950</xdr:colOff>
                    <xdr:row>31</xdr:row>
                    <xdr:rowOff>95250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9AA50D-7470-49B9-9ED7-322DC1BFCFFF}">
          <x14:formula1>
            <xm:f>near_miss_excel_view!$C:$C</xm:f>
          </x14:formula1>
          <xm:sqref>B7:I7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6040D8-5E7A-4024-BF81-5EF5BF83E6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10</vt:i4>
      </vt:variant>
      <vt:variant>
        <vt:lpstr>이름 지정된 범위</vt:lpstr>
      </vt:variant>
      <vt:variant>
        <vt:i4>8</vt:i4>
      </vt:variant>
    </vt:vector>
  </HeadingPairs>
  <TitlesOfParts>
    <vt:vector size="18" baseType="lpstr">
      <vt:lpstr>DROPDOWN_LIST</vt:lpstr>
      <vt:lpstr>near_miss_excel_view</vt:lpstr>
      <vt:lpstr>보고서(4-01)</vt:lpstr>
      <vt:lpstr>보고서(4-02)</vt:lpstr>
      <vt:lpstr>보고서(4-03)</vt:lpstr>
      <vt:lpstr>보고서(4-13) (2)</vt:lpstr>
      <vt:lpstr>보고서(4-13)</vt:lpstr>
      <vt:lpstr>보고서(4-15)</vt:lpstr>
      <vt:lpstr>보고서(4-16)</vt:lpstr>
      <vt:lpstr>보고서(4-18)</vt:lpstr>
      <vt:lpstr>'보고서(4-01)'!Print_Area</vt:lpstr>
      <vt:lpstr>'보고서(4-02)'!Print_Area</vt:lpstr>
      <vt:lpstr>'보고서(4-03)'!Print_Area</vt:lpstr>
      <vt:lpstr>'보고서(4-13)'!Print_Area</vt:lpstr>
      <vt:lpstr>'보고서(4-13) (2)'!Print_Area</vt:lpstr>
      <vt:lpstr>'보고서(4-15)'!Print_Area</vt:lpstr>
      <vt:lpstr>'보고서(4-16)'!Print_Area</vt:lpstr>
      <vt:lpstr>'보고서(4-18)'!Print_Area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남균 김</dc:creator>
  <cp:lastModifiedBy>남균 김</cp:lastModifiedBy>
  <cp:lastPrinted>2026-04-27T20:24:49Z</cp:lastPrinted>
  <dcterms:created xsi:type="dcterms:W3CDTF">2026-04-10T06:38:08Z</dcterms:created>
  <dcterms:modified xsi:type="dcterms:W3CDTF">2026-04-27T20:25:36Z</dcterms:modified>
</cp:coreProperties>
</file>