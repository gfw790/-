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2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3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drawings/drawing4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drawings/drawing5.xml" ContentType="application/vnd.openxmlformats-officedocument.drawing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drawings/drawing6.xml" ContentType="application/vnd.openxmlformats-officedocument.drawing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drawings/drawing7.xml" ContentType="application/vnd.openxmlformats-officedocument.drawing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drawings/drawing8.xml" ContentType="application/vnd.openxmlformats-officedocument.drawing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drawings/drawing9.xml" ContentType="application/vnd.openxmlformats-officedocument.drawing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drawings/drawing10.xml" ContentType="application/vnd.openxmlformats-officedocument.drawing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drawings/drawing11.xml" ContentType="application/vnd.openxmlformats-officedocument.drawing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drawings/drawing12.xml" ContentType="application/vnd.openxmlformats-officedocument.drawing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drawings/drawing13.xml" ContentType="application/vnd.openxmlformats-officedocument.drawing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drawings/drawing14.xml" ContentType="application/vnd.openxmlformats-officedocument.drawing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drawings/drawing15.xml" ContentType="application/vnd.openxmlformats-officedocument.drawing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risk_server\project\near_miss\"/>
    </mc:Choice>
  </mc:AlternateContent>
  <xr:revisionPtr revIDLastSave="0" documentId="13_ncr:1_{98213C0D-DCDF-4E6F-9596-4C0C6000E051}" xr6:coauthVersionLast="47" xr6:coauthVersionMax="47" xr10:uidLastSave="{00000000-0000-0000-0000-000000000000}"/>
  <bookViews>
    <workbookView xWindow="28680" yWindow="-120" windowWidth="29040" windowHeight="15840" firstSheet="1" activeTab="10" xr2:uid="{24BE0CD6-9476-4E03-8A70-3B2BDC0BF986}"/>
  </bookViews>
  <sheets>
    <sheet name="DROPDOWN_LIST" sheetId="6" r:id="rId1"/>
    <sheet name="near_miss_excel_view" sheetId="5" r:id="rId2"/>
    <sheet name="보고서(4-01)" sheetId="15" state="hidden" r:id="rId3"/>
    <sheet name="보고서(4-02)" sheetId="14" state="hidden" r:id="rId4"/>
    <sheet name="보고서(4-03)" sheetId="13" state="hidden" r:id="rId5"/>
    <sheet name="보고서(4-13) (2)" sheetId="12" state="hidden" r:id="rId6"/>
    <sheet name="보고서(4-13)" sheetId="11" state="hidden" r:id="rId7"/>
    <sheet name="보고서(4-15)" sheetId="10" state="hidden" r:id="rId8"/>
    <sheet name="보고서(4-16)" sheetId="9" state="hidden" r:id="rId9"/>
    <sheet name="보고서(4-18)" sheetId="7" state="hidden" r:id="rId10"/>
    <sheet name="보고서(4-28)" sheetId="16" r:id="rId11"/>
    <sheet name="보고서(5-1)" sheetId="18" r:id="rId12"/>
    <sheet name="보고서(5-3)" sheetId="19" r:id="rId13"/>
    <sheet name="보고서(5-6)" sheetId="20" r:id="rId14"/>
    <sheet name="보고서(5-7)" sheetId="21" r:id="rId15"/>
    <sheet name="보고서(5-8)" sheetId="22" r:id="rId16"/>
    <sheet name="보고서(5-12)" sheetId="23" r:id="rId17"/>
    <sheet name="Sheet2" sheetId="17" r:id="rId18"/>
  </sheets>
  <externalReferences>
    <externalReference r:id="rId19"/>
  </externalReferences>
  <definedNames>
    <definedName name="_xlnm._FilterDatabase" localSheetId="2" hidden="1">'보고서(4-01)'!$A$1:$I$7</definedName>
    <definedName name="_xlnm._FilterDatabase" localSheetId="3" hidden="1">'보고서(4-02)'!$A$1:$I$7</definedName>
    <definedName name="_xlnm._FilterDatabase" localSheetId="4" hidden="1">'보고서(4-03)'!$A$1:$I$7</definedName>
    <definedName name="_xlnm._FilterDatabase" localSheetId="6" hidden="1">'보고서(4-13)'!$A$1:$I$7</definedName>
    <definedName name="_xlnm._FilterDatabase" localSheetId="5" hidden="1">'보고서(4-13) (2)'!$A$1:$I$7</definedName>
    <definedName name="_xlnm._FilterDatabase" localSheetId="7" hidden="1">'보고서(4-15)'!$A$1:$I$7</definedName>
    <definedName name="_xlnm._FilterDatabase" localSheetId="8" hidden="1">'보고서(4-16)'!$A$1:$I$7</definedName>
    <definedName name="_xlnm._FilterDatabase" localSheetId="9" hidden="1">'보고서(4-18)'!$A$1:$I$7</definedName>
    <definedName name="_xlnm._FilterDatabase" localSheetId="10" hidden="1">'보고서(4-28)'!$A$1:$I$7</definedName>
    <definedName name="_xlnm._FilterDatabase" localSheetId="11" hidden="1">'보고서(5-1)'!$A$1:$I$7</definedName>
    <definedName name="_xlnm._FilterDatabase" localSheetId="16" hidden="1">'보고서(5-12)'!$A$1:$I$7</definedName>
    <definedName name="_xlnm._FilterDatabase" localSheetId="12" hidden="1">'보고서(5-3)'!$A$1:$I$7</definedName>
    <definedName name="_xlnm._FilterDatabase" localSheetId="13" hidden="1">'보고서(5-6)'!$A$1:$I$7</definedName>
    <definedName name="_xlnm._FilterDatabase" localSheetId="14" hidden="1">'보고서(5-7)'!$A$1:$I$7</definedName>
    <definedName name="_xlnm._FilterDatabase" localSheetId="15" hidden="1">'보고서(5-8)'!$A$1:$I$7</definedName>
    <definedName name="ExternalData_4" localSheetId="1" hidden="1">near_miss_excel_view!$A$1:$N$69</definedName>
    <definedName name="_xlnm.Print_Area" localSheetId="2">'보고서(4-01)'!$A$1:$I$48</definedName>
    <definedName name="_xlnm.Print_Area" localSheetId="3">'보고서(4-02)'!$A$1:$I$48</definedName>
    <definedName name="_xlnm.Print_Area" localSheetId="4">'보고서(4-03)'!$A$1:$I$48</definedName>
    <definedName name="_xlnm.Print_Area" localSheetId="6">'보고서(4-13)'!$A$1:$I$48</definedName>
    <definedName name="_xlnm.Print_Area" localSheetId="5">'보고서(4-13) (2)'!$A$1:$I$48</definedName>
    <definedName name="_xlnm.Print_Area" localSheetId="7">'보고서(4-15)'!$A$1:$I$48</definedName>
    <definedName name="_xlnm.Print_Area" localSheetId="8">'보고서(4-16)'!$A$1:$I$48</definedName>
    <definedName name="_xlnm.Print_Area" localSheetId="9">'보고서(4-18)'!$A$1:$I$48</definedName>
    <definedName name="_xlnm.Print_Area" localSheetId="10">'보고서(4-28)'!$A$1:$I$48</definedName>
    <definedName name="_xlnm.Print_Area" localSheetId="11">'보고서(5-1)'!$A$1:$I$48</definedName>
    <definedName name="_xlnm.Print_Area" localSheetId="16">'보고서(5-12)'!$A$1:$I$48</definedName>
    <definedName name="_xlnm.Print_Area" localSheetId="12">'보고서(5-3)'!$A$1:$I$48</definedName>
    <definedName name="_xlnm.Print_Area" localSheetId="13">'보고서(5-6)'!$A$1:$I$48</definedName>
    <definedName name="_xlnm.Print_Area" localSheetId="14">'보고서(5-7)'!$A$1:$I$48</definedName>
    <definedName name="_xlnm.Print_Area" localSheetId="15">'보고서(5-8)'!$A$1:$I$48</definedName>
    <definedName name="ㅁ1" localSheetId="2">'[1]`98지침'!#REF!</definedName>
    <definedName name="ㅁ1" localSheetId="3">'[1]`98지침'!#REF!</definedName>
    <definedName name="ㅁ1" localSheetId="4">'[1]`98지침'!#REF!</definedName>
    <definedName name="ㅁ1" localSheetId="6">'[1]`98지침'!#REF!</definedName>
    <definedName name="ㅁ1" localSheetId="5">'[1]`98지침'!#REF!</definedName>
    <definedName name="ㅁ1" localSheetId="7">'[1]`98지침'!#REF!</definedName>
    <definedName name="ㅁ1" localSheetId="8">'[1]`98지침'!#REF!</definedName>
    <definedName name="ㅁ1" localSheetId="9">'[1]`98지침'!#REF!</definedName>
    <definedName name="ㅁ1" localSheetId="10">'[1]`98지침'!#REF!</definedName>
    <definedName name="ㅁ1" localSheetId="11">'[1]`98지침'!#REF!</definedName>
    <definedName name="ㅁ1" localSheetId="16">'[1]`98지침'!#REF!</definedName>
    <definedName name="ㅁ1" localSheetId="12">'[1]`98지침'!#REF!</definedName>
    <definedName name="ㅁ1" localSheetId="13">'[1]`98지침'!#REF!</definedName>
    <definedName name="ㅁ1" localSheetId="14">'[1]`98지침'!#REF!</definedName>
    <definedName name="ㅁ1" localSheetId="15">'[1]`98지침'!#REF!</definedName>
    <definedName name="ㅁ1">'[1]`98지침'!#REF!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23" l="1"/>
  <c r="B36" i="23"/>
  <c r="O25" i="23"/>
  <c r="R17" i="23"/>
  <c r="S21" i="23" s="1"/>
  <c r="P17" i="23"/>
  <c r="Q21" i="23" s="1"/>
  <c r="N17" i="23"/>
  <c r="O24" i="23" s="1"/>
  <c r="L17" i="23"/>
  <c r="M36" i="23" s="1"/>
  <c r="J17" i="23"/>
  <c r="K33" i="23" s="1"/>
  <c r="B11" i="23" a="1"/>
  <c r="B11" i="23" s="1"/>
  <c r="B10" i="23"/>
  <c r="B9" i="23"/>
  <c r="E6" i="23"/>
  <c r="H5" i="23"/>
  <c r="B36" i="22"/>
  <c r="R17" i="22"/>
  <c r="S21" i="22" s="1"/>
  <c r="P17" i="22"/>
  <c r="Q19" i="22" s="1"/>
  <c r="N17" i="22"/>
  <c r="O20" i="22" s="1"/>
  <c r="L17" i="22"/>
  <c r="M36" i="22" s="1"/>
  <c r="J17" i="22"/>
  <c r="K33" i="22" s="1"/>
  <c r="B11" i="22" a="1"/>
  <c r="B11" i="22" s="1"/>
  <c r="B10" i="22"/>
  <c r="B9" i="22"/>
  <c r="E6" i="22"/>
  <c r="H5" i="22"/>
  <c r="B36" i="21"/>
  <c r="S20" i="21"/>
  <c r="R17" i="21"/>
  <c r="S21" i="21" s="1"/>
  <c r="P17" i="21"/>
  <c r="Q19" i="21" s="1"/>
  <c r="N17" i="21"/>
  <c r="O20" i="21" s="1"/>
  <c r="L17" i="21"/>
  <c r="M36" i="21" s="1"/>
  <c r="J17" i="21"/>
  <c r="K33" i="21" s="1"/>
  <c r="B11" i="21" a="1"/>
  <c r="B11" i="21" s="1"/>
  <c r="B10" i="21"/>
  <c r="B9" i="21"/>
  <c r="E6" i="21"/>
  <c r="H5" i="21"/>
  <c r="B36" i="20"/>
  <c r="R17" i="20"/>
  <c r="S21" i="20" s="1"/>
  <c r="P17" i="20"/>
  <c r="Q19" i="20" s="1"/>
  <c r="N17" i="20"/>
  <c r="O20" i="20" s="1"/>
  <c r="L17" i="20"/>
  <c r="M36" i="20" s="1"/>
  <c r="J17" i="20"/>
  <c r="K33" i="20" s="1"/>
  <c r="B11" i="20" a="1"/>
  <c r="B11" i="20" s="1"/>
  <c r="B10" i="20"/>
  <c r="B9" i="20"/>
  <c r="E6" i="20"/>
  <c r="H5" i="20"/>
  <c r="B36" i="19"/>
  <c r="K23" i="19"/>
  <c r="R17" i="19"/>
  <c r="S20" i="19" s="1"/>
  <c r="P17" i="19"/>
  <c r="Q22" i="19" s="1"/>
  <c r="N17" i="19"/>
  <c r="O25" i="19" s="1"/>
  <c r="L17" i="19"/>
  <c r="M36" i="19" s="1"/>
  <c r="J17" i="19"/>
  <c r="K33" i="19" s="1"/>
  <c r="B11" i="19" a="1"/>
  <c r="B11" i="19" s="1"/>
  <c r="B10" i="19"/>
  <c r="B9" i="19"/>
  <c r="E6" i="19"/>
  <c r="H5" i="19"/>
  <c r="B36" i="18"/>
  <c r="O19" i="18"/>
  <c r="R17" i="18"/>
  <c r="S20" i="18" s="1"/>
  <c r="P17" i="18"/>
  <c r="Q22" i="18" s="1"/>
  <c r="N17" i="18"/>
  <c r="O25" i="18" s="1"/>
  <c r="L17" i="18"/>
  <c r="M36" i="18" s="1"/>
  <c r="J17" i="18"/>
  <c r="K33" i="18" s="1"/>
  <c r="B11" i="18" a="1"/>
  <c r="B11" i="18" s="1"/>
  <c r="B10" i="18"/>
  <c r="B9" i="18"/>
  <c r="E6" i="18"/>
  <c r="H5" i="18"/>
  <c r="B36" i="16"/>
  <c r="M26" i="16"/>
  <c r="K26" i="16"/>
  <c r="M19" i="16"/>
  <c r="R17" i="16"/>
  <c r="S20" i="16" s="1"/>
  <c r="P17" i="16"/>
  <c r="Q22" i="16" s="1"/>
  <c r="N17" i="16"/>
  <c r="O25" i="16" s="1"/>
  <c r="L17" i="16"/>
  <c r="M36" i="16" s="1"/>
  <c r="J17" i="16"/>
  <c r="K33" i="16" s="1"/>
  <c r="B11" i="16" a="1"/>
  <c r="B11" i="16" s="1"/>
  <c r="B10" i="16"/>
  <c r="B9" i="16"/>
  <c r="E6" i="16"/>
  <c r="H5" i="16"/>
  <c r="A2" i="6" a="1"/>
  <c r="A2" i="6" s="1"/>
  <c r="B36" i="15"/>
  <c r="B36" i="14"/>
  <c r="R17" i="14"/>
  <c r="S19" i="14" s="1"/>
  <c r="P17" i="14"/>
  <c r="Q22" i="14" s="1"/>
  <c r="N17" i="14"/>
  <c r="O25" i="14" s="1"/>
  <c r="L17" i="14"/>
  <c r="M36" i="14" s="1"/>
  <c r="J17" i="14"/>
  <c r="K33" i="14" s="1"/>
  <c r="B11" i="14" a="1"/>
  <c r="B11" i="14" s="1"/>
  <c r="B10" i="14"/>
  <c r="B9" i="14"/>
  <c r="E6" i="14"/>
  <c r="H5" i="14"/>
  <c r="B36" i="13"/>
  <c r="R17" i="13"/>
  <c r="S19" i="13" s="1"/>
  <c r="P17" i="13"/>
  <c r="Q19" i="13" s="1"/>
  <c r="N17" i="13"/>
  <c r="O25" i="13" s="1"/>
  <c r="L17" i="13"/>
  <c r="M36" i="13" s="1"/>
  <c r="J17" i="13"/>
  <c r="K33" i="13" s="1"/>
  <c r="B11" i="13" a="1"/>
  <c r="B11" i="13" s="1"/>
  <c r="B10" i="13"/>
  <c r="B9" i="13"/>
  <c r="E6" i="13"/>
  <c r="H5" i="13"/>
  <c r="B36" i="12"/>
  <c r="R17" i="12"/>
  <c r="S19" i="12" s="1"/>
  <c r="P17" i="12"/>
  <c r="Q22" i="12" s="1"/>
  <c r="N17" i="12"/>
  <c r="O25" i="12" s="1"/>
  <c r="L17" i="12"/>
  <c r="M36" i="12" s="1"/>
  <c r="J17" i="12"/>
  <c r="K33" i="12" s="1"/>
  <c r="B11" i="12" a="1"/>
  <c r="B11" i="12" s="1"/>
  <c r="B10" i="12"/>
  <c r="B9" i="12"/>
  <c r="E6" i="12"/>
  <c r="H5" i="12"/>
  <c r="B36" i="11"/>
  <c r="R17" i="11"/>
  <c r="S19" i="11" s="1"/>
  <c r="P17" i="11"/>
  <c r="Q19" i="11" s="1"/>
  <c r="N17" i="11"/>
  <c r="O25" i="11" s="1"/>
  <c r="L17" i="11"/>
  <c r="M36" i="11" s="1"/>
  <c r="J17" i="11"/>
  <c r="K33" i="11" s="1"/>
  <c r="B11" i="11" a="1"/>
  <c r="B11" i="11" s="1"/>
  <c r="B10" i="11"/>
  <c r="B9" i="11"/>
  <c r="E6" i="11"/>
  <c r="H5" i="11"/>
  <c r="B36" i="10"/>
  <c r="R17" i="10"/>
  <c r="S19" i="10" s="1"/>
  <c r="P17" i="10"/>
  <c r="Q19" i="10" s="1"/>
  <c r="N17" i="10"/>
  <c r="O25" i="10" s="1"/>
  <c r="L17" i="10"/>
  <c r="M36" i="10" s="1"/>
  <c r="J17" i="10"/>
  <c r="K33" i="10" s="1"/>
  <c r="B11" i="10" a="1"/>
  <c r="B11" i="10" s="1"/>
  <c r="B10" i="10"/>
  <c r="B9" i="10"/>
  <c r="E6" i="10"/>
  <c r="H5" i="10"/>
  <c r="B36" i="9"/>
  <c r="R17" i="9"/>
  <c r="S20" i="9" s="1"/>
  <c r="P17" i="9"/>
  <c r="Q22" i="9" s="1"/>
  <c r="N17" i="9"/>
  <c r="O25" i="9" s="1"/>
  <c r="L17" i="9"/>
  <c r="M36" i="9" s="1"/>
  <c r="J17" i="9"/>
  <c r="K33" i="9" s="1"/>
  <c r="B11" i="9" a="1"/>
  <c r="B11" i="9" s="1"/>
  <c r="B10" i="9"/>
  <c r="B9" i="9"/>
  <c r="E6" i="9"/>
  <c r="H5" i="9"/>
  <c r="B36" i="7"/>
  <c r="R17" i="7"/>
  <c r="P17" i="7"/>
  <c r="N17" i="7"/>
  <c r="L17" i="7"/>
  <c r="J17" i="7"/>
  <c r="B11" i="7" a="1"/>
  <c r="B11" i="7" s="1"/>
  <c r="B10" i="7"/>
  <c r="B9" i="7"/>
  <c r="E6" i="7"/>
  <c r="H5" i="7"/>
  <c r="K26" i="23" l="1"/>
  <c r="M27" i="23"/>
  <c r="K30" i="23"/>
  <c r="O19" i="23"/>
  <c r="M30" i="23"/>
  <c r="O21" i="23"/>
  <c r="K32" i="23"/>
  <c r="O22" i="23"/>
  <c r="K34" i="23"/>
  <c r="K24" i="23"/>
  <c r="M34" i="23"/>
  <c r="O20" i="23"/>
  <c r="K22" i="23"/>
  <c r="M25" i="23"/>
  <c r="K29" i="23"/>
  <c r="M33" i="23"/>
  <c r="S20" i="23"/>
  <c r="Q22" i="23"/>
  <c r="K19" i="23"/>
  <c r="K21" i="23"/>
  <c r="K23" i="23"/>
  <c r="M26" i="23"/>
  <c r="K31" i="23"/>
  <c r="K35" i="23"/>
  <c r="M19" i="23"/>
  <c r="M21" i="23"/>
  <c r="O23" i="23"/>
  <c r="K27" i="23"/>
  <c r="M31" i="23"/>
  <c r="M35" i="23"/>
  <c r="Q20" i="23"/>
  <c r="Q19" i="23"/>
  <c r="K28" i="23"/>
  <c r="M32" i="23"/>
  <c r="K36" i="23"/>
  <c r="K20" i="23"/>
  <c r="K25" i="23"/>
  <c r="M28" i="23"/>
  <c r="Q21" i="22"/>
  <c r="O24" i="22"/>
  <c r="K32" i="22"/>
  <c r="K19" i="22"/>
  <c r="S20" i="22"/>
  <c r="Q22" i="22"/>
  <c r="K26" i="22"/>
  <c r="K30" i="22"/>
  <c r="K34" i="22"/>
  <c r="K21" i="22"/>
  <c r="K23" i="22"/>
  <c r="M26" i="22"/>
  <c r="M30" i="22"/>
  <c r="M34" i="22"/>
  <c r="Q20" i="22"/>
  <c r="O22" i="22"/>
  <c r="O25" i="22"/>
  <c r="K29" i="22"/>
  <c r="M33" i="22"/>
  <c r="M19" i="22"/>
  <c r="O19" i="22"/>
  <c r="M21" i="22"/>
  <c r="O23" i="22"/>
  <c r="K31" i="22"/>
  <c r="K35" i="22"/>
  <c r="M27" i="22"/>
  <c r="O21" i="22"/>
  <c r="K24" i="22"/>
  <c r="K27" i="22"/>
  <c r="M31" i="22"/>
  <c r="M35" i="22"/>
  <c r="K20" i="22"/>
  <c r="K25" i="22"/>
  <c r="K28" i="22"/>
  <c r="M32" i="22"/>
  <c r="K36" i="22"/>
  <c r="K22" i="22"/>
  <c r="M25" i="22"/>
  <c r="M28" i="22"/>
  <c r="Q21" i="21"/>
  <c r="Q22" i="21"/>
  <c r="O24" i="21"/>
  <c r="K26" i="21"/>
  <c r="K30" i="21"/>
  <c r="K19" i="21"/>
  <c r="K32" i="21"/>
  <c r="S19" i="21"/>
  <c r="K34" i="21"/>
  <c r="Q20" i="21"/>
  <c r="O22" i="21"/>
  <c r="O25" i="21"/>
  <c r="K29" i="21"/>
  <c r="M33" i="21"/>
  <c r="M19" i="21"/>
  <c r="K21" i="21"/>
  <c r="K23" i="21"/>
  <c r="M26" i="21"/>
  <c r="M30" i="21"/>
  <c r="M34" i="21"/>
  <c r="O19" i="21"/>
  <c r="M21" i="21"/>
  <c r="O23" i="21"/>
  <c r="O26" i="21"/>
  <c r="K31" i="21"/>
  <c r="K35" i="21"/>
  <c r="O21" i="21"/>
  <c r="K24" i="21"/>
  <c r="K27" i="21"/>
  <c r="M31" i="21"/>
  <c r="M35" i="21"/>
  <c r="M27" i="21"/>
  <c r="K20" i="21"/>
  <c r="K25" i="21"/>
  <c r="K28" i="21"/>
  <c r="M32" i="21"/>
  <c r="K36" i="21"/>
  <c r="K22" i="21"/>
  <c r="M25" i="21"/>
  <c r="M28" i="21"/>
  <c r="S19" i="20"/>
  <c r="Q21" i="20"/>
  <c r="O24" i="20"/>
  <c r="K32" i="20"/>
  <c r="Q20" i="20"/>
  <c r="O22" i="20"/>
  <c r="O25" i="20"/>
  <c r="K29" i="20"/>
  <c r="M33" i="20"/>
  <c r="M19" i="20"/>
  <c r="K21" i="20"/>
  <c r="K23" i="20"/>
  <c r="M26" i="20"/>
  <c r="M30" i="20"/>
  <c r="M34" i="20"/>
  <c r="M27" i="20"/>
  <c r="K19" i="20"/>
  <c r="S20" i="20"/>
  <c r="Q22" i="20"/>
  <c r="K26" i="20"/>
  <c r="K30" i="20"/>
  <c r="K34" i="20"/>
  <c r="O19" i="20"/>
  <c r="M21" i="20"/>
  <c r="O23" i="20"/>
  <c r="O26" i="20"/>
  <c r="K31" i="20"/>
  <c r="K35" i="20"/>
  <c r="O21" i="20"/>
  <c r="K24" i="20"/>
  <c r="K27" i="20"/>
  <c r="M31" i="20"/>
  <c r="M35" i="20"/>
  <c r="K20" i="20"/>
  <c r="K25" i="20"/>
  <c r="K28" i="20"/>
  <c r="M32" i="20"/>
  <c r="K36" i="20"/>
  <c r="K22" i="20"/>
  <c r="M25" i="20"/>
  <c r="M28" i="20"/>
  <c r="O23" i="19"/>
  <c r="O26" i="19"/>
  <c r="O19" i="19"/>
  <c r="K30" i="19"/>
  <c r="O20" i="19"/>
  <c r="M30" i="19"/>
  <c r="M21" i="19"/>
  <c r="K34" i="19"/>
  <c r="M26" i="19"/>
  <c r="O21" i="19"/>
  <c r="M34" i="19"/>
  <c r="M19" i="19"/>
  <c r="K21" i="19"/>
  <c r="K26" i="19"/>
  <c r="M33" i="19"/>
  <c r="Q19" i="19"/>
  <c r="S19" i="19"/>
  <c r="Q21" i="19"/>
  <c r="K24" i="19"/>
  <c r="K27" i="19"/>
  <c r="K31" i="19"/>
  <c r="K35" i="19"/>
  <c r="K20" i="19"/>
  <c r="S21" i="19"/>
  <c r="O24" i="19"/>
  <c r="M27" i="19"/>
  <c r="M31" i="19"/>
  <c r="M35" i="19"/>
  <c r="Q20" i="19"/>
  <c r="O22" i="19"/>
  <c r="M25" i="19"/>
  <c r="M28" i="19"/>
  <c r="M32" i="19"/>
  <c r="K36" i="19"/>
  <c r="K22" i="19"/>
  <c r="K25" i="19"/>
  <c r="K28" i="19"/>
  <c r="K32" i="19"/>
  <c r="K19" i="19"/>
  <c r="K29" i="19"/>
  <c r="O20" i="18"/>
  <c r="M26" i="18"/>
  <c r="K21" i="18"/>
  <c r="K28" i="18"/>
  <c r="M21" i="18"/>
  <c r="M29" i="18"/>
  <c r="K26" i="18"/>
  <c r="K22" i="18"/>
  <c r="K30" i="18"/>
  <c r="S22" i="18"/>
  <c r="K32" i="18"/>
  <c r="K23" i="18"/>
  <c r="M33" i="18"/>
  <c r="M19" i="18"/>
  <c r="K25" i="18"/>
  <c r="K34" i="18"/>
  <c r="Q19" i="18"/>
  <c r="O21" i="18"/>
  <c r="O23" i="18"/>
  <c r="O26" i="18"/>
  <c r="M30" i="18"/>
  <c r="M34" i="18"/>
  <c r="S19" i="18"/>
  <c r="Q21" i="18"/>
  <c r="K24" i="18"/>
  <c r="K27" i="18"/>
  <c r="K31" i="18"/>
  <c r="K35" i="18"/>
  <c r="K20" i="18"/>
  <c r="S21" i="18"/>
  <c r="O24" i="18"/>
  <c r="M27" i="18"/>
  <c r="M31" i="18"/>
  <c r="M35" i="18"/>
  <c r="Q20" i="18"/>
  <c r="O22" i="18"/>
  <c r="M25" i="18"/>
  <c r="M28" i="18"/>
  <c r="M32" i="18"/>
  <c r="K36" i="18"/>
  <c r="K19" i="18"/>
  <c r="K29" i="18"/>
  <c r="K21" i="16"/>
  <c r="K28" i="16"/>
  <c r="M21" i="16"/>
  <c r="M29" i="16"/>
  <c r="K22" i="16"/>
  <c r="K30" i="16"/>
  <c r="S22" i="16"/>
  <c r="K32" i="16"/>
  <c r="K23" i="16"/>
  <c r="M33" i="16"/>
  <c r="K25" i="16"/>
  <c r="K34" i="16"/>
  <c r="Q19" i="16"/>
  <c r="O21" i="16"/>
  <c r="O23" i="16"/>
  <c r="O26" i="16"/>
  <c r="M30" i="16"/>
  <c r="M34" i="16"/>
  <c r="O19" i="16"/>
  <c r="S19" i="16"/>
  <c r="Q21" i="16"/>
  <c r="K24" i="16"/>
  <c r="K27" i="16"/>
  <c r="K31" i="16"/>
  <c r="K35" i="16"/>
  <c r="K20" i="16"/>
  <c r="S21" i="16"/>
  <c r="O24" i="16"/>
  <c r="M27" i="16"/>
  <c r="M31" i="16"/>
  <c r="M35" i="16"/>
  <c r="Q20" i="16"/>
  <c r="O22" i="16"/>
  <c r="M25" i="16"/>
  <c r="M28" i="16"/>
  <c r="M32" i="16"/>
  <c r="K36" i="16"/>
  <c r="O20" i="16"/>
  <c r="K19" i="16"/>
  <c r="K29" i="16"/>
  <c r="J17" i="15"/>
  <c r="K33" i="15" s="1"/>
  <c r="L17" i="15"/>
  <c r="M36" i="15" s="1"/>
  <c r="N17" i="15"/>
  <c r="O25" i="15" s="1"/>
  <c r="B10" i="15"/>
  <c r="H5" i="15"/>
  <c r="P17" i="15"/>
  <c r="Q19" i="15" s="1"/>
  <c r="B11" i="15" a="1"/>
  <c r="B11" i="15" s="1"/>
  <c r="E6" i="15"/>
  <c r="R17" i="15"/>
  <c r="S19" i="15" s="1"/>
  <c r="B9" i="15"/>
  <c r="K25" i="15"/>
  <c r="K26" i="15"/>
  <c r="K22" i="15"/>
  <c r="K36" i="15"/>
  <c r="M26" i="14"/>
  <c r="O19" i="14"/>
  <c r="O20" i="14"/>
  <c r="K28" i="14"/>
  <c r="M20" i="14"/>
  <c r="O26" i="14"/>
  <c r="K21" i="14"/>
  <c r="K30" i="14"/>
  <c r="K22" i="14"/>
  <c r="M30" i="14"/>
  <c r="O23" i="14"/>
  <c r="K32" i="14"/>
  <c r="K24" i="14"/>
  <c r="K34" i="14"/>
  <c r="K25" i="14"/>
  <c r="M34" i="14"/>
  <c r="K20" i="14"/>
  <c r="Q21" i="14"/>
  <c r="M23" i="14"/>
  <c r="K26" i="14"/>
  <c r="M29" i="14"/>
  <c r="M33" i="14"/>
  <c r="K19" i="14"/>
  <c r="Q20" i="14"/>
  <c r="M22" i="14"/>
  <c r="M24" i="14"/>
  <c r="K27" i="14"/>
  <c r="K31" i="14"/>
  <c r="K35" i="14"/>
  <c r="M19" i="14"/>
  <c r="S20" i="14"/>
  <c r="O22" i="14"/>
  <c r="O24" i="14"/>
  <c r="M27" i="14"/>
  <c r="M31" i="14"/>
  <c r="M35" i="14"/>
  <c r="S21" i="14"/>
  <c r="Q19" i="14"/>
  <c r="M21" i="14"/>
  <c r="S22" i="14"/>
  <c r="M25" i="14"/>
  <c r="M28" i="14"/>
  <c r="M32" i="14"/>
  <c r="K36" i="14"/>
  <c r="O21" i="14"/>
  <c r="K23" i="14"/>
  <c r="K29" i="14"/>
  <c r="Q21" i="13"/>
  <c r="K25" i="13"/>
  <c r="M33" i="13"/>
  <c r="Q22" i="13"/>
  <c r="K26" i="13"/>
  <c r="M23" i="13"/>
  <c r="K28" i="13"/>
  <c r="K20" i="13"/>
  <c r="M29" i="13"/>
  <c r="K21" i="13"/>
  <c r="K32" i="13"/>
  <c r="M20" i="13"/>
  <c r="S21" i="13"/>
  <c r="O23" i="13"/>
  <c r="M26" i="13"/>
  <c r="K30" i="13"/>
  <c r="K34" i="13"/>
  <c r="O20" i="13"/>
  <c r="K22" i="13"/>
  <c r="K24" i="13"/>
  <c r="O26" i="13"/>
  <c r="M30" i="13"/>
  <c r="M34" i="13"/>
  <c r="K19" i="13"/>
  <c r="Q20" i="13"/>
  <c r="M22" i="13"/>
  <c r="M24" i="13"/>
  <c r="K27" i="13"/>
  <c r="K31" i="13"/>
  <c r="K35" i="13"/>
  <c r="M19" i="13"/>
  <c r="S20" i="13"/>
  <c r="O22" i="13"/>
  <c r="O24" i="13"/>
  <c r="M27" i="13"/>
  <c r="M31" i="13"/>
  <c r="M35" i="13"/>
  <c r="O19" i="13"/>
  <c r="M21" i="13"/>
  <c r="S22" i="13"/>
  <c r="M25" i="13"/>
  <c r="M28" i="13"/>
  <c r="M32" i="13"/>
  <c r="K36" i="13"/>
  <c r="O21" i="13"/>
  <c r="K23" i="13"/>
  <c r="K29" i="13"/>
  <c r="O26" i="11"/>
  <c r="O20" i="12"/>
  <c r="S21" i="12"/>
  <c r="O26" i="12"/>
  <c r="O23" i="12"/>
  <c r="K32" i="12"/>
  <c r="K21" i="12"/>
  <c r="K28" i="12"/>
  <c r="K22" i="12"/>
  <c r="M30" i="12"/>
  <c r="K24" i="12"/>
  <c r="K34" i="12"/>
  <c r="O19" i="12"/>
  <c r="K25" i="12"/>
  <c r="M34" i="12"/>
  <c r="K30" i="12"/>
  <c r="M20" i="12"/>
  <c r="M26" i="12"/>
  <c r="K20" i="12"/>
  <c r="Q21" i="12"/>
  <c r="M23" i="12"/>
  <c r="K26" i="12"/>
  <c r="M29" i="12"/>
  <c r="M33" i="12"/>
  <c r="K19" i="12"/>
  <c r="Q20" i="12"/>
  <c r="M22" i="12"/>
  <c r="M24" i="12"/>
  <c r="K27" i="12"/>
  <c r="K31" i="12"/>
  <c r="K35" i="12"/>
  <c r="M19" i="12"/>
  <c r="S20" i="12"/>
  <c r="O22" i="12"/>
  <c r="O24" i="12"/>
  <c r="M27" i="12"/>
  <c r="M31" i="12"/>
  <c r="M35" i="12"/>
  <c r="Q19" i="12"/>
  <c r="M21" i="12"/>
  <c r="S22" i="12"/>
  <c r="M25" i="12"/>
  <c r="M28" i="12"/>
  <c r="M32" i="12"/>
  <c r="K36" i="12"/>
  <c r="O21" i="12"/>
  <c r="K23" i="12"/>
  <c r="K29" i="12"/>
  <c r="Q22" i="11"/>
  <c r="M23" i="11"/>
  <c r="K25" i="11"/>
  <c r="K26" i="11"/>
  <c r="K28" i="11"/>
  <c r="K20" i="11"/>
  <c r="M29" i="11"/>
  <c r="K21" i="11"/>
  <c r="K32" i="11"/>
  <c r="Q21" i="11"/>
  <c r="M33" i="11"/>
  <c r="M20" i="11"/>
  <c r="S21" i="11"/>
  <c r="O23" i="11"/>
  <c r="M26" i="11"/>
  <c r="K30" i="11"/>
  <c r="K34" i="11"/>
  <c r="O20" i="11"/>
  <c r="K22" i="11"/>
  <c r="K24" i="11"/>
  <c r="M30" i="11"/>
  <c r="M34" i="11"/>
  <c r="K19" i="11"/>
  <c r="Q20" i="11"/>
  <c r="M22" i="11"/>
  <c r="M24" i="11"/>
  <c r="K27" i="11"/>
  <c r="K31" i="11"/>
  <c r="K35" i="11"/>
  <c r="M19" i="11"/>
  <c r="S20" i="11"/>
  <c r="O22" i="11"/>
  <c r="O24" i="11"/>
  <c r="M27" i="11"/>
  <c r="M31" i="11"/>
  <c r="M35" i="11"/>
  <c r="M21" i="11"/>
  <c r="S22" i="11"/>
  <c r="M25" i="11"/>
  <c r="M28" i="11"/>
  <c r="M32" i="11"/>
  <c r="K36" i="11"/>
  <c r="O19" i="11"/>
  <c r="O21" i="11"/>
  <c r="K23" i="11"/>
  <c r="K29" i="11"/>
  <c r="O19" i="10"/>
  <c r="K21" i="10"/>
  <c r="Q22" i="10"/>
  <c r="K25" i="10"/>
  <c r="K28" i="10"/>
  <c r="K32" i="10"/>
  <c r="K20" i="10"/>
  <c r="Q21" i="10"/>
  <c r="M23" i="10"/>
  <c r="K26" i="10"/>
  <c r="M29" i="10"/>
  <c r="M33" i="10"/>
  <c r="M20" i="10"/>
  <c r="S21" i="10"/>
  <c r="O23" i="10"/>
  <c r="M26" i="10"/>
  <c r="K30" i="10"/>
  <c r="K34" i="10"/>
  <c r="O20" i="10"/>
  <c r="K22" i="10"/>
  <c r="K24" i="10"/>
  <c r="O26" i="10"/>
  <c r="M30" i="10"/>
  <c r="M34" i="10"/>
  <c r="K19" i="10"/>
  <c r="Q20" i="10"/>
  <c r="M22" i="10"/>
  <c r="M24" i="10"/>
  <c r="K27" i="10"/>
  <c r="K31" i="10"/>
  <c r="K35" i="10"/>
  <c r="M19" i="10"/>
  <c r="S20" i="10"/>
  <c r="O22" i="10"/>
  <c r="O24" i="10"/>
  <c r="M27" i="10"/>
  <c r="M31" i="10"/>
  <c r="M35" i="10"/>
  <c r="M21" i="10"/>
  <c r="S22" i="10"/>
  <c r="M25" i="10"/>
  <c r="M28" i="10"/>
  <c r="M32" i="10"/>
  <c r="K36" i="10"/>
  <c r="O21" i="10"/>
  <c r="K23" i="10"/>
  <c r="K29" i="10"/>
  <c r="M20" i="9"/>
  <c r="M22" i="9"/>
  <c r="M29" i="9"/>
  <c r="M30" i="9"/>
  <c r="M25" i="9"/>
  <c r="M33" i="9"/>
  <c r="M26" i="9"/>
  <c r="M34" i="9"/>
  <c r="M23" i="9"/>
  <c r="M31" i="9"/>
  <c r="M24" i="9"/>
  <c r="M32" i="9"/>
  <c r="M21" i="9"/>
  <c r="M27" i="9"/>
  <c r="M35" i="9"/>
  <c r="M28" i="9"/>
  <c r="O21" i="9"/>
  <c r="O23" i="9"/>
  <c r="O26" i="9"/>
  <c r="O19" i="9"/>
  <c r="O20" i="9"/>
  <c r="M19" i="9"/>
  <c r="K21" i="9"/>
  <c r="S22" i="9"/>
  <c r="K26" i="9"/>
  <c r="Q19" i="9"/>
  <c r="S19" i="9"/>
  <c r="Q21" i="9"/>
  <c r="K24" i="9"/>
  <c r="K27" i="9"/>
  <c r="K31" i="9"/>
  <c r="K35" i="9"/>
  <c r="K20" i="9"/>
  <c r="S21" i="9"/>
  <c r="O24" i="9"/>
  <c r="Q20" i="9"/>
  <c r="O22" i="9"/>
  <c r="K36" i="9"/>
  <c r="K23" i="9"/>
  <c r="K30" i="9"/>
  <c r="K34" i="9"/>
  <c r="K22" i="9"/>
  <c r="K25" i="9"/>
  <c r="K28" i="9"/>
  <c r="K32" i="9"/>
  <c r="K19" i="9"/>
  <c r="K29" i="9"/>
  <c r="K33" i="7"/>
  <c r="S20" i="7"/>
  <c r="Q22" i="7"/>
  <c r="O25" i="7"/>
  <c r="M36" i="7"/>
  <c r="S20" i="15" l="1"/>
  <c r="S22" i="15"/>
  <c r="K20" i="15"/>
  <c r="K35" i="15"/>
  <c r="K34" i="15"/>
  <c r="K31" i="15"/>
  <c r="K21" i="15"/>
  <c r="K27" i="15"/>
  <c r="K32" i="15"/>
  <c r="K29" i="15"/>
  <c r="K19" i="15"/>
  <c r="K30" i="15"/>
  <c r="K23" i="15"/>
  <c r="K24" i="15"/>
  <c r="K28" i="15"/>
  <c r="O26" i="15"/>
  <c r="O24" i="15"/>
  <c r="O20" i="15"/>
  <c r="O23" i="15"/>
  <c r="O22" i="15"/>
  <c r="O19" i="15"/>
  <c r="O21" i="15"/>
  <c r="Q22" i="15"/>
  <c r="S21" i="15"/>
  <c r="M34" i="15"/>
  <c r="M20" i="15"/>
  <c r="M21" i="15"/>
  <c r="M19" i="15"/>
  <c r="M30" i="15"/>
  <c r="M23" i="15"/>
  <c r="M27" i="15"/>
  <c r="Q21" i="15"/>
  <c r="M35" i="15"/>
  <c r="M31" i="15"/>
  <c r="M26" i="15"/>
  <c r="M32" i="15"/>
  <c r="M24" i="15"/>
  <c r="M28" i="15"/>
  <c r="M22" i="15"/>
  <c r="M33" i="15"/>
  <c r="M25" i="15"/>
  <c r="M29" i="15"/>
  <c r="Q20" i="15"/>
  <c r="S19" i="7"/>
  <c r="O21" i="7"/>
  <c r="Q21" i="7"/>
  <c r="S22" i="7"/>
  <c r="O23" i="7"/>
  <c r="O26" i="7"/>
  <c r="Q19" i="7"/>
  <c r="M19" i="7"/>
  <c r="K21" i="7"/>
  <c r="M33" i="7"/>
  <c r="K26" i="7"/>
  <c r="M29" i="7"/>
  <c r="O19" i="7"/>
  <c r="M21" i="7"/>
  <c r="K23" i="7"/>
  <c r="M26" i="7"/>
  <c r="K30" i="7"/>
  <c r="K34" i="7"/>
  <c r="M30" i="7"/>
  <c r="M34" i="7"/>
  <c r="K35" i="7"/>
  <c r="K24" i="7"/>
  <c r="K27" i="7"/>
  <c r="K31" i="7"/>
  <c r="K20" i="7"/>
  <c r="S21" i="7"/>
  <c r="O24" i="7"/>
  <c r="M27" i="7"/>
  <c r="M31" i="7"/>
  <c r="M35" i="7"/>
  <c r="O20" i="7"/>
  <c r="K22" i="7"/>
  <c r="K25" i="7"/>
  <c r="K28" i="7"/>
  <c r="K32" i="7"/>
  <c r="Q20" i="7"/>
  <c r="O22" i="7"/>
  <c r="M25" i="7"/>
  <c r="M28" i="7"/>
  <c r="M32" i="7"/>
  <c r="K36" i="7"/>
  <c r="K19" i="7"/>
  <c r="K2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B98CA2-8E7C-4D92-8476-5721A7D5D72B}" keepAlive="1" name="쿼리 - near_miss_excel_view (2)" description="통합 문서의 'near_miss_excel_view (2)' 쿼리에 대한 연결입니다." type="5" refreshedVersion="8" background="1" saveData="1">
    <dbPr connection="Provider=Microsoft.Mashup.OleDb.1;Data Source=$Workbook$;Location=&quot;near_miss_excel_view (2)&quot;;Extended Properties=&quot;&quot;" command="SELECT * FROM [near_miss_excel_view (2)]"/>
  </connection>
  <connection id="2" xr16:uid="{B3BA96ED-33B8-4BE9-905F-DA26D4D10ADD}" keepAlive="1" name="쿼리 - near_miss_reports" description="통합 문서의 'near_miss_reports' 쿼리에 대한 연결입니다." type="5" refreshedVersion="8" background="1" saveData="1">
    <dbPr connection="Provider=Microsoft.Mashup.OleDb.1;Data Source=$Workbook$;Location=near_miss_reports;Extended Properties=&quot;&quot;" command="SELECT * FROM [near_miss_repor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<sst xmlns="http://schemas.openxmlformats.org/spreadsheetml/2006/main" count="2212" uniqueCount="506">
  <si>
    <t>사고유형</t>
  </si>
  <si>
    <t>불안전한 상태</t>
  </si>
  <si>
    <t>불안전한 행동</t>
  </si>
  <si>
    <t>이후민</t>
  </si>
  <si>
    <t>우수 맨홀 뚜껑 밀림으로 전도</t>
  </si>
  <si>
    <t>4P34 전기실 앞</t>
  </si>
  <si>
    <t>우수 맨홀 뚜껑이 고정되지 않아 밟았을 때 맨홀이 움직여 미끄러짐</t>
  </si>
  <si>
    <t>전도</t>
  </si>
  <si>
    <t>개구부</t>
  </si>
  <si>
    <t>기타</t>
  </si>
  <si>
    <t>위험을 보지 않음</t>
  </si>
  <si>
    <t>서두름</t>
  </si>
  <si>
    <t>맨홀 주위에 접근 금지 표시를 설치하여 사고 재발생을 예방함</t>
  </si>
  <si>
    <t>김민규</t>
  </si>
  <si>
    <t>케이블 포설 중 요통발생</t>
  </si>
  <si>
    <t>풍력선별기</t>
  </si>
  <si>
    <t>케이블 포설 중 협소공간에서 불안정한 자세로 인해 요통발생</t>
  </si>
  <si>
    <t>요통</t>
  </si>
  <si>
    <t>통로</t>
  </si>
  <si>
    <t>불안전한 자세</t>
  </si>
  <si>
    <t>몸의 균형이 불안정해짐</t>
  </si>
  <si>
    <t>충분한 작업 공간을 확보한 후 작업 중간에 쉬는 시간을 가짐</t>
  </si>
  <si>
    <t>김남균</t>
  </si>
  <si>
    <t>사다리에 손가락 끼임</t>
  </si>
  <si>
    <t>사다리를 접다가 손가락 끼임</t>
  </si>
  <si>
    <t>협착</t>
  </si>
  <si>
    <t>도구 및 장비</t>
  </si>
  <si>
    <t>도구의 잘못 사용</t>
  </si>
  <si>
    <t>위험을 생각하지 않음</t>
  </si>
  <si>
    <t>사다리를 접기 전에 항상 주의하도록 교육</t>
  </si>
  <si>
    <t>서용주</t>
  </si>
  <si>
    <t>한라 구내 4호기</t>
  </si>
  <si>
    <t>전도</t>
    <phoneticPr fontId="1" type="noConversion"/>
  </si>
  <si>
    <t>설비</t>
    <phoneticPr fontId="1" type="noConversion"/>
  </si>
  <si>
    <t>기타</t>
    <phoneticPr fontId="1" type="noConversion"/>
  </si>
  <si>
    <t>위험경로에 위치함</t>
    <phoneticPr fontId="1" type="noConversion"/>
  </si>
  <si>
    <t>서두름</t>
    <phoneticPr fontId="1" type="noConversion"/>
  </si>
  <si>
    <t>김도담</t>
  </si>
  <si>
    <t>작업중 위에서 떨어지는 낙화물</t>
  </si>
  <si>
    <t>2호 kiln inlet 2층</t>
  </si>
  <si>
    <t>상층 작업자 용접으로 인한 용접 불티가 떨어지는 위험</t>
  </si>
  <si>
    <t>화상/동상</t>
  </si>
  <si>
    <t>낙석</t>
  </si>
  <si>
    <t>보호구</t>
  </si>
  <si>
    <t>보호구 착용과 용접이 끝난후 안전하게 작업</t>
  </si>
  <si>
    <t>정원석</t>
  </si>
  <si>
    <t>전기실 악세스플로어가 내려앉으면서 발이빠짐</t>
  </si>
  <si>
    <t>풍력선별기 2P7 전기실</t>
  </si>
  <si>
    <t>케이블 포설을 위해 악세스플로어를 열어놨고
지지대가 제대로 받쳐주지 않은 곳에 발을 딛다가 밑으로 발이 빠져 다칠뻔 함</t>
  </si>
  <si>
    <t>작업발판</t>
  </si>
  <si>
    <t>평소 습관</t>
  </si>
  <si>
    <t>지지대 재설치 후 다른 작업 인원에게도 위험하다고 알림</t>
  </si>
  <si>
    <t>삽입 된 셋트앙카를 제거 후 안전한지 확인하고 이동함.</t>
  </si>
  <si>
    <t>야간 작업시 시야확보에 따른 찰과상</t>
  </si>
  <si>
    <t>2호 KILM INLET</t>
  </si>
  <si>
    <t>야간 근무 시 2호 INLET 주변 전등이 안 들어와
이동하다 넘어짐</t>
  </si>
  <si>
    <t>절단/ 찰과상</t>
  </si>
  <si>
    <t>전기</t>
  </si>
  <si>
    <t>위험경로에 위치함</t>
  </si>
  <si>
    <t>생산근무자에게 야간 작업등을 항상 켜 놓으라 전달</t>
  </si>
  <si>
    <t>감전위험</t>
  </si>
  <si>
    <t>2호 idf</t>
  </si>
  <si>
    <t>감전</t>
  </si>
  <si>
    <t>자만심</t>
  </si>
  <si>
    <t>차단기를 내려서 전기차단후 잔류 에너지 확인후 pump 교체</t>
  </si>
  <si>
    <t>윤순형</t>
  </si>
  <si>
    <t>고소차량 탑승 전 안전난간 설치 중 손가락이 끼일 뻔 함</t>
  </si>
  <si>
    <t>광산  초소</t>
  </si>
  <si>
    <t>사다리차 탑승 전 안전난간을 조립하던 과정에 난간판넬 접힘부에 손가락이 끼일 뻔함
차례대로 접어야 하는데 한꺼번에 접으려다 손가락이 접힘부에 있었는지 망각함.</t>
  </si>
  <si>
    <t>주변동료에게 알림.</t>
  </si>
  <si>
    <t>윤택천</t>
  </si>
  <si>
    <t>바닥에 있는 설비배관에 발이 걸려 넘어질 뻔함</t>
  </si>
  <si>
    <t>Roll Press Hydro Pump Room</t>
  </si>
  <si>
    <t>케이블 포설을 마지고 이동 중 설비 배관에 발이 걸려 넘어질 뻔 함</t>
  </si>
  <si>
    <t>주변 동료에게 공유함.</t>
  </si>
  <si>
    <t>TR 운반 중 바닥이 미끄러워 넘어질 뻔 함</t>
  </si>
  <si>
    <t>항만 알루미나 전기실</t>
  </si>
  <si>
    <t>교체할 TR을 지정된 위치로 밀어서 이동 중 바닥의 물기로 인해 미끄러질 뻔 함. / 이동동선의 물기를 확이하지 않음.</t>
  </si>
  <si>
    <t>조명/ 환경</t>
  </si>
  <si>
    <t>피로</t>
  </si>
  <si>
    <t>엄기준</t>
  </si>
  <si>
    <t>크레인 케이블 수리하는 중 상부 구조물에 머리를 부딪힐 뻔함</t>
  </si>
  <si>
    <t>항만공작실</t>
  </si>
  <si>
    <t>좁은공간에서 작업을 마치고 일어나는 순간 상부 배관에 부딪힐 뻔함/ 상부에 배관이 지나가고 있다는 것을 일어나면서  알아챔.</t>
  </si>
  <si>
    <t>충돌</t>
  </si>
  <si>
    <t>좁은 공간에서 몸을 움직일 때는 항상 이동하려는 곳을 먼저 육안으로 확인 후 이동할 것을 주변동료와 공유함.</t>
  </si>
  <si>
    <t>케이블을 무리하게 당기다가 근육통 발생함</t>
  </si>
  <si>
    <t>항만 북방파제</t>
  </si>
  <si>
    <t>기존 매립 관에 케이블을 입선과정에서 무리한 힘을 사용하여 근육통이 발생/ 매립관의 굴곡개소가 많고 밀어 넣는 작업자와 박자가 잘 안맞아서 당기는 힘에 부하가 생김.</t>
  </si>
  <si>
    <t>제3자</t>
  </si>
  <si>
    <t>소통 미비</t>
  </si>
  <si>
    <t>스트레스</t>
  </si>
  <si>
    <t>구령을 넣어서 박자를 맞추도록 작업자들과 공유함.</t>
  </si>
  <si>
    <t>철판 팁에 찰과상 발생</t>
  </si>
  <si>
    <t>현대기전 제작장</t>
  </si>
  <si>
    <t>스텐리스 판넬에 홀 작업 후 볼트체결 과정에서 홀 가공 후 잔여 팁에 손가락 끝 베임</t>
  </si>
  <si>
    <t>홀 작업 후 면에 팁이 남아있는지 확인하도록 동료들과 공유함</t>
  </si>
  <si>
    <t>바닥이 미끄러워 넘어질 뻔 함</t>
  </si>
  <si>
    <t>광산현대화 갱 입구 TR</t>
  </si>
  <si>
    <t>작업을 마치고 내려오는 도중 바닥의 흙이 미끄러워 넘어질 뻔 함</t>
  </si>
  <si>
    <t>계단</t>
  </si>
  <si>
    <t>임시 분전함 위치로 가기 전 바닥을 확인하고 안전하게 이동하도록 주변 동료들과 공유함</t>
  </si>
  <si>
    <t>케이블 포설 중 손이 미끄러워 넘어질뻔 함</t>
  </si>
  <si>
    <t>광산현대화 터널 내</t>
  </si>
  <si>
    <t>광산 현대화 터널 내 임시동력 설치작업을 위하여 케이블 포설작업을 하던 중 당기는 시점에 손에 습기가 있어 미끄러지면서 몸의 균형이 흔들렸음.</t>
  </si>
  <si>
    <t>케이블이 손에서 미끄러지더라도 넘어지지 않도록 균형있는 자세로 작업하도록 주변 동료들에게 전파함.</t>
  </si>
  <si>
    <t>용접된 제품을 잡다가 화상 입을 뻔함.</t>
  </si>
  <si>
    <t>옥계 사무실 제작장</t>
  </si>
  <si>
    <t>케이블 트레이 베이스를 도색하려고 철물을 잡다가 뜨거워서 손에서 놓침.</t>
  </si>
  <si>
    <t>사전정보 없이 용접 제작물에 손을 대지 않도록 하고 만일 작업을 위해 접촉을 해야한다면, 용접장갑을 반드시 착용하도록 동료들에게 전파.</t>
  </si>
  <si>
    <t>박재민</t>
  </si>
  <si>
    <t>4호 인넷트 프로브 계단 난간</t>
  </si>
  <si>
    <t>야간작업시 주변 장애물 위치파악을 못했습니다</t>
  </si>
  <si>
    <t>항상주변장애물 위치를 확인하고 
안전하게 작업하겠습니다</t>
  </si>
  <si>
    <t>장진혁</t>
  </si>
  <si>
    <t>왼손으로 볼트를 풀다가 근육통 발생</t>
  </si>
  <si>
    <t>왼손에 몽키 스패너를 잡고 냉각수 호스와 연결된 볼트를 푸는 과정에서 갑작스런 근육통 발생/볼트를 빨리 풀기 위해 손에 무리하게 힘을 준 것이 원인</t>
  </si>
  <si>
    <t>분류 불능</t>
  </si>
  <si>
    <t>일이 안 풀려도 서두르지 않는 차분한 마음가짐 가지기, 도구가 안 좋을 때는 다른 도구로 교체하여 사용하기</t>
  </si>
  <si>
    <t>계단 이용시 미끌림</t>
  </si>
  <si>
    <t>2k</t>
  </si>
  <si>
    <t>안전난간</t>
  </si>
  <si>
    <t>난간 손잡이를 잡기전에 장갑 물기 제거후 몸을 지탱하여 이동함</t>
  </si>
  <si>
    <t>전선관 절단부 거스러미에 손가락 베임</t>
  </si>
  <si>
    <t>옥계사무실 제작장</t>
  </si>
  <si>
    <t>절단된 파이프를 옮기다가 파이프 끝 절단부에 손가락 베임/ 파이프 절단 시 끝단부 연마처리를 안함.</t>
  </si>
  <si>
    <t>파이프 절단 시 절단면에 거스러미(bur)가 없도록 연마처리 요청함.</t>
  </si>
  <si>
    <t>휘어진 계단 발판을 딛다가 넘어질뻔 함</t>
  </si>
  <si>
    <t>5P2 전기실 옥외계단</t>
  </si>
  <si>
    <t>계단 중간부분에 발판이 휘어진 곳을 밟다가 넘어질 뻔함. / 계단을 잘 살펴보지 않음</t>
  </si>
  <si>
    <t>계단을 오를 때 손잡이 잡기를 습관화 하도록 주위 동료들과 공유함.</t>
  </si>
  <si>
    <t>볼트 채결시 장갑 끼임</t>
  </si>
  <si>
    <t>3호 kiln inlet</t>
  </si>
  <si>
    <t>작업중 볼트 채결시 안전 장갑이 채결부위에 끼임</t>
  </si>
  <si>
    <t>작업장갑 사이즈가 맞는걸로 대처</t>
  </si>
  <si>
    <t>목재 파레트를 운반 중 나무가시에 찔림</t>
  </si>
  <si>
    <t>현대기전 창고</t>
  </si>
  <si>
    <t>빈 파레트를 동료와 함께 운반 중 파레트 표면에 있는 나무가시에 손가락이 찔림  / 장갑을 끼고 작업을 하였으나 가시 끝부분이 날카로워 장갑이 뚫려 찔리게 됨</t>
  </si>
  <si>
    <t>목재 파레트 운반 시 잡는 부분이 가시가 돌출되어있는지 확인 후 잡도록 TBM 시 주변 동료들과 공유함</t>
  </si>
  <si>
    <t>소준희</t>
  </si>
  <si>
    <t>자재정리정돈중 저선관 발고 미끄러질번함</t>
  </si>
  <si>
    <t>옥계사무실 작업장앞</t>
  </si>
  <si>
    <t>정리정돈</t>
  </si>
  <si>
    <t>TBM 시 주변동료들에게 정리정돈요청</t>
  </si>
  <si>
    <t>이정민</t>
  </si>
  <si>
    <t>젠어스(접지몰탈) 하차 중 허리 통증 발생</t>
  </si>
  <si>
    <t>옥계사무실 창고</t>
  </si>
  <si>
    <t>작업을 마치고 사무실로 복귀하여 젠어스(접지몰탈) 포대(25kg)를 하차하던 중 허리에 통증을 느낌./ 갑자기 무리한 힘을 사용.</t>
  </si>
  <si>
    <t>스프레이 파스로 근육 이완 후 동료들과 작업 전 스트레칭의 중요성을 공유함</t>
  </si>
  <si>
    <t>이동 중 미끄러져 넘어질 뻔함</t>
  </si>
  <si>
    <t>221 BCF 통로</t>
  </si>
  <si>
    <t>통로에서 전등 누전 점검차 이동 중 수분이 포함된 분진을 밟고 미끄러져 넘어질 뻔함./ 원인: 분진이 수분과 섞여 누적됨.</t>
  </si>
  <si>
    <t>이동 중 에어라인에 머리가 부딪힘</t>
  </si>
  <si>
    <t>#3호 SILO 592 BF2 앞 이동통로</t>
  </si>
  <si>
    <t>이동 중 이동통로 상부에 에어배관에 머리가 닿음</t>
  </si>
  <si>
    <t>동료들과 위험 사항을 공유함. 배관에 경시테이프 등을 부착하는 것을 제안함.</t>
  </si>
  <si>
    <t>안전난간 미고정으로 잡다가 넘어질 뻔함.</t>
  </si>
  <si>
    <t>트레이 교체작업을 위해 핸드레일을 잡고 이동 중 핸드레일이 움직여서 넘어질뻔함. / 핸드레일 하부 고정용접이 떨어짐.</t>
  </si>
  <si>
    <t>몸의 균형이 불안정해짐</t>
    <phoneticPr fontId="1" type="noConversion"/>
  </si>
  <si>
    <t>이동중 장애물에 걸려 넘어짐</t>
  </si>
  <si>
    <t>4호 kiln inlet</t>
  </si>
  <si>
    <t>작업을 위해 이동중 바닥에 널 부러져 있는 호수를 밟고 넘어짐</t>
  </si>
  <si>
    <t>다른 작업자들이 바닥에 버린 호수를 주워서 정리했습니다</t>
  </si>
  <si>
    <t>프로브 냉각수 교체하다가 손등화상입음</t>
  </si>
  <si>
    <t>냉각수를 틀고 작업을 해야하는데 
너무 급하게 작업하느라 신경 못쓰고 
작업을 해서 화상을 입게되었습니다</t>
  </si>
  <si>
    <t>필터를 들고 가다가 에어호스에 걸려 넘어질 뻔함</t>
  </si>
  <si>
    <t>2k idf</t>
  </si>
  <si>
    <t>2호 kiln의 2호 idf 펌프 및 필터 청소 완료 후 필터를 다시 장착하기 위해 길을 가던 중 정리되지 않은 에어 호스에 걸려 넘어질 뻔함/바닥에 정리되지 않은 에어 호스가 근로자가 걷는 동선상에 위치하였고 근로자는 그것을 인지하지 못한 상태로 걸어갔던 것으로 보임</t>
  </si>
  <si>
    <t>통로</t>
    <phoneticPr fontId="1" type="noConversion"/>
  </si>
  <si>
    <t>위험을 보지 않음</t>
    <phoneticPr fontId="1" type="noConversion"/>
  </si>
  <si>
    <t>전기작업을 위해 천정의 텍스를 열다가 벽돌에 맞음</t>
  </si>
  <si>
    <t>본관 런닝센터</t>
  </si>
  <si>
    <t>전기공사 중 천정으로 케이블 포설을 위해 텍스를 열다가 텍스위에 적치된 벽돌이 떨어져 맞음. / 천정 위에 벽돌을 방치함.</t>
  </si>
  <si>
    <t>적치된 벽돌을 제거하였습니다.</t>
  </si>
  <si>
    <t>구조물에 안전모 부딪힘</t>
  </si>
  <si>
    <t>트레이 거치대 작업을 위해 컨베이어 하부로 이동 중 안전모가 구조물에 부딪힘 / 부주의</t>
  </si>
  <si>
    <t>TBM 위험성 평가때 동료들과 공유</t>
  </si>
  <si>
    <t>한윤근</t>
  </si>
  <si>
    <t>리프트에서 내릴때 작업발판 접지름</t>
  </si>
  <si>
    <t>4k 리프트</t>
  </si>
  <si>
    <t>리프트와 작업발판 사이 단차로 생긴 사고</t>
  </si>
  <si>
    <t>발목보호되는 안전화 착용 및 내릴때 한번더 확인후 이동하겠습니다.</t>
  </si>
  <si>
    <t>미끄러짐</t>
  </si>
  <si>
    <t>2k inlet</t>
  </si>
  <si>
    <t>이동중 살얼음에 미끄러짐</t>
  </si>
  <si>
    <t>폭설/ 결빙</t>
  </si>
  <si>
    <t>이동시 바닥을 확인하여 이동하였습니다</t>
  </si>
  <si>
    <t>정재호</t>
  </si>
  <si>
    <t>야간에 이동시 미끄러짐</t>
  </si>
  <si>
    <t>4호 Kiln</t>
  </si>
  <si>
    <t>새벽시간 극심한 한파중 이동간 바닥에 물기가 얼어있는지 모르고 미끄러짐</t>
  </si>
  <si>
    <t>자연재해</t>
  </si>
  <si>
    <t>앞으로 야간에 이동시 헤드랜턴을 항시 켜고 바닥확인을 철저히 하겠습니다</t>
  </si>
  <si>
    <t>계단 이동중 미끄러짐</t>
  </si>
  <si>
    <t>2호 프로브 계단</t>
  </si>
  <si>
    <t>계단쪽에 물이 있어서 
미끄러 잡아질뻔했습니다 
날씨가 추운탓도 있고 
계단이 얼어서 미끄럽습니다</t>
  </si>
  <si>
    <t>계단 미끄러짐</t>
  </si>
  <si>
    <t>3호 2층 전기실 올라가는 계단</t>
  </si>
  <si>
    <t>2층 전기실로 가는 계단에서 1층으로 내려가던 중 계단에서 미끄러짐 / 계단에 칸이 작고 오래되어 미끄러움</t>
  </si>
  <si>
    <t>낙하물</t>
  </si>
  <si>
    <t>광산 320갱</t>
  </si>
  <si>
    <t>광산 320갱 트레이 설치 중 떨어져있던 볼트나 너트류 다리에 걸려 밑으로 떨어짐</t>
  </si>
  <si>
    <t>낙하</t>
  </si>
  <si>
    <t>주변에 떨어져있던 낙하물들을 청소 밑 정리 조치 하였습니다</t>
  </si>
  <si>
    <t>낙하물에 의한 위험</t>
  </si>
  <si>
    <t>2호 klin</t>
  </si>
  <si>
    <t>위에서 떨어진 낙화물에 다칠뻔함</t>
  </si>
  <si>
    <t>항상 다닐때 작업장 주의를 살피고 있습니다</t>
  </si>
  <si>
    <t>이젝터 부품 해체 중 손이 주변 구조물에 부딪침</t>
  </si>
  <si>
    <t>3호 kiln inlet에서 이젝터 부품을 스패너로 해체하던 중 주변 구조물에 손이 부딪침/작업 중 동선 파악을 제대로 못함</t>
  </si>
  <si>
    <t>주변 동선 파악 후 작업</t>
  </si>
  <si>
    <t>계단 이동중 상부구조물 충돌</t>
  </si>
  <si>
    <t>4호기 2층</t>
  </si>
  <si>
    <t>inlet probe 작업하러 계단 오르던중 상부 구조물 충돌</t>
  </si>
  <si>
    <t>야간 작업중 계단 오를시 헤드라이트로 구조물 미리식별후 안전하게 이동하겠습니다.</t>
  </si>
  <si>
    <t>고드름 낙하</t>
  </si>
  <si>
    <t>320갱 111-BC3구간</t>
  </si>
  <si>
    <t>이동 중 상부 고드름이 낙하하여 맞을 뻔함. / 일부 미제거 된 고드름</t>
  </si>
  <si>
    <t>주의 깊게 관찰하며 고드름 제거 하겠습니다.</t>
  </si>
  <si>
    <t>야간작업시 계단올라갔을때 넘어짐</t>
  </si>
  <si>
    <t>야간에현장자체가 어두컴컴하고 
아무리 후레쉬를 켜도 시야가 뿌옇고 
먼지 쌓인 장소에서 작업을 하다보니 
시야가 앞을 가려서 조심해서 올라간다는 
생각을 하고 올라갔는데 넘어졌습니다</t>
  </si>
  <si>
    <t>작업을 하기전에 항상 위험요소물이 있는지 
확인하고 계단올라갔을시 조심해서 
작업을 하겠습니다</t>
  </si>
  <si>
    <t>공구 사용하다 찰과상</t>
  </si>
  <si>
    <t>4k kiln inlet</t>
  </si>
  <si>
    <t>볼트 체결중 힘을주고 몽키 돌리다 풀리면서
 손가락 다칠뻔함</t>
  </si>
  <si>
    <t>헐거워진 몽키에 기름칠을 해도 위험해보여
 몽키를 구입해서 사용함</t>
  </si>
  <si>
    <t>프로브 조립시 수공구에 의한 찍힘</t>
  </si>
  <si>
    <t>협력업체 작업장</t>
  </si>
  <si>
    <t>프로브 조립 중 스패너 조임 작업도중 체결을 확실히 못하고 돌리는 사고가 발생</t>
  </si>
  <si>
    <t>앞으로 프로브 조립 및 스패너 사용 작업시 체결유무 확실히 확인 후 작업 하겠습니다</t>
  </si>
  <si>
    <t>한지민</t>
  </si>
  <si>
    <t>320갱 전기실 부근</t>
  </si>
  <si>
    <t>감전</t>
    <phoneticPr fontId="1" type="noConversion"/>
  </si>
  <si>
    <t>소통 미비</t>
    <phoneticPr fontId="1" type="noConversion"/>
  </si>
  <si>
    <t>위험을 생각하지 않음</t>
    <phoneticPr fontId="1" type="noConversion"/>
  </si>
  <si>
    <t>440V 감전사고</t>
  </si>
  <si>
    <t>광산현대화 전기실</t>
  </si>
  <si>
    <t>440V 케이블 결선 중 파워가 죽지 않았는데 결선을 하려고하여 쇼트사고</t>
  </si>
  <si>
    <t>서두르지 않고 절연장갑을 착용 후 결선작업 진행</t>
  </si>
  <si>
    <t>평소 습관</t>
    <phoneticPr fontId="1" type="noConversion"/>
  </si>
  <si>
    <t>도구 및 장비</t>
    <phoneticPr fontId="1" type="noConversion"/>
  </si>
  <si>
    <t>공구 사용하다 칠과상</t>
  </si>
  <si>
    <t>파이브렌치를 사용하다 헛돌아 넘어짐</t>
  </si>
  <si>
    <t>4호 inlet 이젝터 청소 작업 중 이젝터 나사가 바닥에 떨어짐, 나사를 찾으려다 바닥에 넘어질뻔함</t>
  </si>
  <si>
    <t>주변 동선 확인 후 작업</t>
  </si>
  <si>
    <t>4호 프로브 계단실</t>
  </si>
  <si>
    <t>서두르지 않고 작업을 하겠습니다</t>
  </si>
  <si>
    <t>#4 cooler</t>
  </si>
  <si>
    <t>호이스트 강제개방 고장 및 추락위험</t>
  </si>
  <si>
    <t>#4 2층 INLET 알리막리프트의 관성에 의해 하차위치와 리프트위치의 단차가 발생해 넘어질뻔 함</t>
  </si>
  <si>
    <t>설비</t>
  </si>
  <si>
    <t>세트앙카에 안전모가 부딪힐 뻔 함.</t>
  </si>
  <si>
    <t>전자해머 점검용 워크웨이를 올라가기 위해 
수직사다리를 통해 올라가던 중 
상부 천장에 노출된 미사용 셋트앙카에 안전모가 살짝 부딪힘
먼저 이동 경로를 확인 하고 위험요소를 발견 후 이동하여야 하는데 발견하지 못함</t>
  </si>
  <si>
    <t>L21 ST/RE</t>
  </si>
  <si>
    <t>TBM 시간에 주변을 잘 살피고 이동하도록 공유 하였습니다.</t>
  </si>
  <si>
    <t>320갱 BC3</t>
  </si>
  <si>
    <t>앞으로 이동시 손잡이를 잡고 이동하겠습니다</t>
  </si>
  <si>
    <t>소통 미비로 결선 중 단락 사고 발생할 뻔 함.</t>
  </si>
  <si>
    <t>선임 작업자가 결선 전 단계 까지만 하라고 전달했지만 제대로 전달되지 않아 결선까지 하게 됨.</t>
  </si>
  <si>
    <t>위험성이 있는 작업은 절대 임의로 판단하에 작업 금지, 무전으로 작업해도 괜찮다고 연락 받아도 마지막으로 검전기 혹은 테스터기로 확인 후 작업 하도록 교육 및 숙지</t>
  </si>
  <si>
    <t>습기에 의한 미끄러짐</t>
  </si>
  <si>
    <t>바닥의 물기를 보지 않고 이동 중 미끄러짐</t>
  </si>
  <si>
    <t>서두르지 않고 바닥을 확인 후 이동하겠음</t>
  </si>
  <si>
    <t>나무 가시에 찔림</t>
  </si>
  <si>
    <t>집</t>
  </si>
  <si>
    <t>나무 전지 작업 중 가시에 찔림/ 보호구(안전장갑) 미착용</t>
  </si>
  <si>
    <t>일상생활에서도 안전습관화 되도록 숙지 및 경험담 전파.</t>
  </si>
  <si>
    <t>판넬 이송 중 머리 부딪힘</t>
  </si>
  <si>
    <t>현대기전 사무실</t>
  </si>
  <si>
    <t>판넬을 사무실 밖으로 빼기 위해 구르마로 이동 중 사무실 문 앞 턱에서 판넬이 기울어지며 넘어감 그 후 넘어가는 쪽에 있던 인원이 머리를 부딪힘.</t>
  </si>
  <si>
    <t>사용했던 구르마보다 큰 규격의 구르마를 사용하고 판넬을 세워서 이동하지 않고 눕혀서 2명 이상의 인원이 함께 작업을 하였습니다.</t>
  </si>
  <si>
    <t>광산 320갱 BC2벨트</t>
  </si>
  <si>
    <t>고여있던 물들을 벨트를 꾹 눌러 밑으로 흘려보내고 부석들도 땅으로 밀어 치워둠</t>
  </si>
  <si>
    <t>사다리 이동중 무릎, 팔 타박상</t>
  </si>
  <si>
    <t>4호 coal mill probe 위치</t>
  </si>
  <si>
    <t>야간에 사다리 이동 중 부딪힘</t>
  </si>
  <si>
    <t>돌출부</t>
  </si>
  <si>
    <t>야간작업중 사다리 이동 시 해드랜턴 항시 켜놓은 후 돌출부 확인 및 접지 부 확인 철저</t>
  </si>
  <si>
    <t>그라인더 작업 중 쉿가루 튐</t>
  </si>
  <si>
    <t>광산 bc2 벨트</t>
  </si>
  <si>
    <t>유해물질 접촉</t>
  </si>
  <si>
    <t>보안경을 바르게 착용하고 내 자세를 딱 고정할 수 있는 위치에서 작업시행</t>
  </si>
  <si>
    <t>불안전한 상태: 개구부
불안전한 행동: 기타
부주의 행동: 위험을 보지 않음
부주의 상태: 서두름</t>
  </si>
  <si>
    <t>불안전한 상태: 통로
불안전한 행동: 불안전한 자세
부주의 행동: 몸의 균형이 불안정해짐
부주의 상태: 서두름</t>
  </si>
  <si>
    <t>불안전한 상태: 도구 및 장비
불안전한 행동: 도구의 잘못 사용
부주의 행동: 위험을 생각하지 않음
부주의 상태: 서두름</t>
  </si>
  <si>
    <t>불안전한 상태: 설비
불안전한 행동: 기타
부주의 행동: 위험경로에 위치함
부주의 상태: 서두름</t>
  </si>
  <si>
    <t>CCR 통보하여 수리</t>
  </si>
  <si>
    <t>불안전한 상태: 낙석
불안전한 행동: 보호구
부주의 행동: 위험을 보지 않음
부주의 상태: 서두름</t>
  </si>
  <si>
    <t>불안전한 상태: 작업발판
불안전한 행동: 평소 습관
부주의 행동: 위험을 생각하지 않음
부주의 상태: 서두름</t>
  </si>
  <si>
    <t>항만 석회석 치장 내</t>
  </si>
  <si>
    <t>불안전한 상태: 통로
불안전한 행동: 평소 습관
부주의 행동: 위험을 보지 않음
부주의 상태: 서두름</t>
  </si>
  <si>
    <t>불안전한 상태: 전기
불안전한 행동: 불안전한 자세
부주의 행동: 위험경로에 위치함
부주의 상태: 서두름</t>
  </si>
  <si>
    <t>Pump 교체시 off를 해도 잔여 에너지가 흐르는 문제로 감전위험을 느낌</t>
  </si>
  <si>
    <t>불안전한 상태: 전기
불안전한 행동: 평소 습관
부주의 행동: 위험을 보지 않음
부주의 상태: 자만심</t>
  </si>
  <si>
    <t>불안전한 상태: 도구 및 장비
불안전한 행동: 도구의 잘못 사용
부주의 행동: 위험을 보지 않음
부주의 상태: 서두름</t>
  </si>
  <si>
    <t>불안전한 상태: 조명/ 환경
불안전한 행동: 평소 습관
부주의 행동: 위험을 보지 않음
부주의 상태: 피로</t>
  </si>
  <si>
    <t>작은 물기라도 무거운 물체를 밀고 있을때는 미끄러울 수 있다는 것을 주변 동료와 공유함.</t>
  </si>
  <si>
    <t>불안전한 상태: 작업발판
불안전한 행동: 불안전한 자세
부주의 행동: 위험을 생각하지 않음
부주의 상태: 피로</t>
  </si>
  <si>
    <t>불안전한 상태: 제3자
불안전한 행동: 소통 미비
부주의 행동: 몸의 균형이 불안정해짐
부주의 상태: 스트레스</t>
  </si>
  <si>
    <t>불안전한 상태: 기타
불안전한 행동: 기타
부주의 행동: 위험을 보지 않음
부주의 상태: 서두름</t>
  </si>
  <si>
    <t>불안전한 상태: 계단
불안전한 행동: 기타
부주의 행동: 몸의 균형이 불안정해짐
부주의 상태: 자만심</t>
  </si>
  <si>
    <t>불안전한 상태: 조명/ 환경
불안전한 행동: 기타
부주의 행동: 몸의 균형이 불안정해짐
부주의 상태: 자만심</t>
  </si>
  <si>
    <t>불안전한 상태: 기타
불안전한 행동: 보호구
부주의 행동: 위험을 생각하지 않음
부주의 상태: 자만심</t>
  </si>
  <si>
    <t>야간작업시 장애물 부딫침</t>
  </si>
  <si>
    <t>불안전한 상태: 작업발판
불안전한 행동: 불안전한 자세
부주의 행동: 위험경로에 위치함
부주의 상태: 서두름</t>
  </si>
  <si>
    <t>3호 KILN INNET</t>
  </si>
  <si>
    <t>불안전한 상태: 도구 및 장비
불안전한 행동: 평소 습관
부주의 행동: 위험을 생각하지 않음
부주의 상태: 서두름</t>
  </si>
  <si>
    <t>계단 이용중 난간 손잡이를 놓쳐서 미끄러질뻔함</t>
  </si>
  <si>
    <t>불안전한 상태: 안전난간
불안전한 행동: 불안전한 자세
부주의 행동: 몸의 균형이 불안정해짐
부주의 상태: 서두름</t>
  </si>
  <si>
    <t>불안전한 상태: 제3자
불안전한 행동: 소통 미비
부주의 행동: 위험을 보지 않음
부주의 상태: 피로</t>
  </si>
  <si>
    <t>불안전한 상태: 계단
불안전한 행동: 평소 습관
부주의 행동: 위험을 보지 않음
부주의 상태: 서두름</t>
  </si>
  <si>
    <t>불안전한 상태: 도구 및 장비
불안전한 행동: 도구의 잘못 사용
부주의 행동: 위험을 생각하지 않음
부주의 상태: 자만심</t>
  </si>
  <si>
    <t>자재정리정돈중 전선관 발촉사고./윈인 자재정리미흡</t>
  </si>
  <si>
    <t>불안전한 상태: 정리정돈
불안전한 행동: 기타
부주의 행동: 위험을 보지 않음
부주의 상태: 자만심</t>
  </si>
  <si>
    <t>불안전한 상태: 기타
불안전한 행동: 불안전한 자세
부주의 행동: 위험을 생각하지 않음
부주의 상태: 피로</t>
  </si>
  <si>
    <t>불안전한 상태: 통로
불안전한 행동: 기타
부주의 행동: 몸의 균형이 불안정해짐
부주의 상태: 자만심</t>
  </si>
  <si>
    <t>이동 시 손으로 벽을 짚으면서 이동하도록 주변 동료들과 의견을 공유함.</t>
  </si>
  <si>
    <t>불안전한 상태: 통로
불안전한 행동: 기타
부주의 행동: 위험경로에 위치함
부주의 상태: 서두름</t>
  </si>
  <si>
    <t>불안전한 상태: 안전난간
불안전한 행동: 기타
부주의 행동: 몸의 균형이 불안정해짐
부주의 상태: 서두름</t>
  </si>
  <si>
    <t>안전난간 미고정된 사실을 동료들에게 전파하여 작업동료들에게 주지시킴.</t>
  </si>
  <si>
    <t>불안전한 상태: 기타
불안전한 행동: 불안전한 자세
부주의 행동: 위험을 보지 않음
부주의 상태: 서두름</t>
  </si>
  <si>
    <t>2호 키른</t>
  </si>
  <si>
    <t>불안전한 상태: 기타
불안전한 행동: 소통 미비
부주의 행동: 위험경로에 위치함
부주의 상태: 서두름</t>
  </si>
  <si>
    <t>항상 주변환경을 잘보고 
동료랑 소통을 하면서 천천히 서두르지 않게 
조심히 작업을 하겠습니다</t>
  </si>
  <si>
    <t>불안전한 상태: 통로
불안전한 행동: 기타
부주의 행동: 위험을 보지 않음
부주의 상태: 서두름</t>
  </si>
  <si>
    <t>불안전한 상태: 정리정돈
불안전한 행동: 기타
부주의 행동: 위험을 생각하지 않음
부주의 상태: 자만심</t>
  </si>
  <si>
    <t>불안전한 상태: 작업발판
불안전한 행동: 불안전한 자세
부주의 행동: 위험을 생각하지 않음
부주의 상태: 서두름</t>
  </si>
  <si>
    <t>불안전한 상태: 폭설/ 결빙
불안전한 행동: 불안전한 자세
부주의 행동: 몸의 균형이 불안정해짐
부주의 상태: 자만심</t>
  </si>
  <si>
    <t>불안전한 상태: 자연재해
불안전한 행동: 기타
부주의 행동: 위험을 보지 않음
부주의 상태: 서두름</t>
  </si>
  <si>
    <t>불안전한 상태: -
불안전한 행동: -
부주의 행동: -
부주의 상태: -</t>
  </si>
  <si>
    <t>기존 데이터 이관</t>
  </si>
  <si>
    <t>불안전한 상태: 작업발판
불안전한 행동: 기타
부주의 행동: 위험을 보지 않음
부주의 상태: 서두름</t>
  </si>
  <si>
    <t>불안전한 상태: 기타
불안전한 행동: 기타
부주의 행동: 위험을 보지 않음
부주의 상태: 자만심</t>
  </si>
  <si>
    <t>불안전한 상태: 조명/ 환경
불안전한 행동: 불안전한 자세
부주의 행동: 위험을 보지 않음
부주의 상태: 서두름</t>
  </si>
  <si>
    <t>4k INLET (PROBE )있는장소</t>
  </si>
  <si>
    <t>불안전한 상태: 계단
불안전한 행동: 평소 습관
부주의 행동: 위험경로에 위치함
부주의 상태: 피로</t>
  </si>
  <si>
    <t>불안전한 상태: 도구 및 장비
불안전한 행동: 도구의 잘못 사용
부주의 행동: 몸의 균형이 불안정해짐
부주의 상태: 서두름</t>
  </si>
  <si>
    <t>불안전한 상태: 기타
불안전한 행동: 도구의 잘못 사용
부주의 행동: 위험을 보지 않음
부주의 상태: 서두름</t>
  </si>
  <si>
    <t>불안전한 상태: 전기
불안전한 행동: 소통 미비
부주의 행동: 위험을 생각하지 않음
부주의 상태: 서두름</t>
  </si>
  <si>
    <t>불안전한 상태: 전기
불안전한 행동: 소통 미비
부주의 행동: 위험을 보지 않음
부주의 상태: 서두름</t>
  </si>
  <si>
    <t>불안전한 상태: 도구 및 장비
불안전한 행동: 평소 습관
부주의 행동: 위험을 보지 않음
부주의 상태: 서두름</t>
  </si>
  <si>
    <t>4k kiln inlet 앞 계단</t>
  </si>
  <si>
    <t>4k kiln inlet Probe 점검하러 올라가려는 계단에 위치한 배관에 헬멧을 박아서 뒤로 넘어질 뻔한 사고 발생</t>
  </si>
  <si>
    <t>계단 위치에 있는 배관이 너무 낮게 되어 있습니다.</t>
  </si>
  <si>
    <t>트레이 작업 중 그라인더로 잔넬을 절단하던 중 쉿가루가 눈으로 튐</t>
  </si>
  <si>
    <t>눈에는 보안경을 착용하고 있었지만 자르는 행위 중 아래를 보면서 작업을 해야했고 보안경이 조금씩 흘러내리는 사이 눈으로 튐</t>
  </si>
  <si>
    <t>320갱</t>
  </si>
  <si>
    <t>그라인더 사용중. 불티가 티어서  눈에 화상 입음</t>
  </si>
  <si>
    <t>안전보호구 착용 했음 에도. 제가 부주의 하여 불꽃팀</t>
  </si>
  <si>
    <t>보고서ID</t>
  </si>
  <si>
    <t>제목</t>
  </si>
  <si>
    <t>발생일시</t>
  </si>
  <si>
    <t>발생장소</t>
  </si>
  <si>
    <t>내용</t>
  </si>
  <si>
    <t>원인</t>
  </si>
  <si>
    <t>즉시조치</t>
  </si>
  <si>
    <t>재발방지대책</t>
  </si>
  <si>
    <t>작성자명</t>
  </si>
  <si>
    <t>이윤성</t>
  </si>
  <si>
    <t>이돈희</t>
  </si>
  <si>
    <t>4k kiln inlet 계단 올라갈 때 배관에 헬멧 박아서 계단에서 넘어질 뻔함</t>
  </si>
  <si>
    <t>그라인더 사용중 불티 화상</t>
  </si>
  <si>
    <t>재발을 방지하기 위해 헤드 라이트를 사용 후 고개와 허리를 숙이며 안전 난간을 잡고 조심히 이동하였습니다.</t>
  </si>
  <si>
    <t>그라인더 불티방지 사용</t>
  </si>
  <si>
    <r>
      <t>(</t>
    </r>
    <r>
      <rPr>
        <sz val="24"/>
        <rFont val="맑은 고딕"/>
        <family val="3"/>
        <charset val="129"/>
      </rPr>
      <t>■</t>
    </r>
    <r>
      <rPr>
        <b/>
        <sz val="24"/>
        <rFont val="맑은 고딕"/>
        <family val="3"/>
        <charset val="129"/>
      </rPr>
      <t xml:space="preserve"> 아차사고 , </t>
    </r>
    <r>
      <rPr>
        <sz val="24"/>
        <rFont val="맑은 고딕"/>
        <family val="3"/>
        <charset val="129"/>
      </rPr>
      <t>□</t>
    </r>
    <r>
      <rPr>
        <b/>
        <sz val="24"/>
        <rFont val="맑은 고딕"/>
        <family val="3"/>
        <charset val="129"/>
      </rPr>
      <t xml:space="preserve"> 응급처치 ) 보고서</t>
    </r>
    <phoneticPr fontId="3" type="noConversion"/>
  </si>
  <si>
    <t>■ 아차사고 보고서를 이용하여, 상황이 다소 달랐다면 인명피해로 이어질수 있었던 사고를 보고해 주시기 바랍니다</t>
    <phoneticPr fontId="3" type="noConversion"/>
  </si>
  <si>
    <t>■ 여러분의 협조가 당사의 인적, 물적 피해를 줄일 수 있으며 예방하는 도움이 됩니다</t>
    <phoneticPr fontId="3" type="noConversion"/>
  </si>
  <si>
    <t>소  속</t>
  </si>
  <si>
    <t>현대기전</t>
    <phoneticPr fontId="1" type="noConversion"/>
  </si>
  <si>
    <t>성  명</t>
  </si>
  <si>
    <t>사  번</t>
  </si>
  <si>
    <t>아차사고명</t>
    <phoneticPr fontId="3" type="noConversion"/>
  </si>
  <si>
    <t>아차사고</t>
    <phoneticPr fontId="3" type="noConversion"/>
  </si>
  <si>
    <t xml:space="preserve">경험(목격) </t>
    <phoneticPr fontId="3" type="noConversion"/>
  </si>
  <si>
    <t xml:space="preserve">내용 및 </t>
    <phoneticPr fontId="3" type="noConversion"/>
  </si>
  <si>
    <r>
      <t xml:space="preserve">원인 </t>
    </r>
    <r>
      <rPr>
        <sz val="12"/>
        <rFont val="맑은 고딕"/>
        <family val="3"/>
        <charset val="129"/>
      </rPr>
      <t>입니다</t>
    </r>
    <phoneticPr fontId="3" type="noConversion"/>
  </si>
  <si>
    <t>사고유형</t>
    <phoneticPr fontId="1" type="noConversion"/>
  </si>
  <si>
    <t>불안전한상태</t>
    <phoneticPr fontId="1" type="noConversion"/>
  </si>
  <si>
    <t>불안전한행동</t>
    <phoneticPr fontId="1" type="noConversion"/>
  </si>
  <si>
    <t>부주의 행동</t>
    <phoneticPr fontId="1" type="noConversion"/>
  </si>
  <si>
    <t>부주의 상태</t>
    <phoneticPr fontId="1" type="noConversion"/>
  </si>
  <si>
    <t>다음 해당하는 사항에 체크하세요.</t>
    <phoneticPr fontId="3" type="noConversion"/>
  </si>
  <si>
    <t>사고 유형</t>
    <phoneticPr fontId="15" type="noConversion"/>
  </si>
  <si>
    <t xml:space="preserve">     불안전한 상태 : </t>
    <phoneticPr fontId="3" type="noConversion"/>
  </si>
  <si>
    <t>추락</t>
    <phoneticPr fontId="1" type="noConversion"/>
  </si>
  <si>
    <t>규정위반</t>
    <phoneticPr fontId="1" type="noConversion"/>
  </si>
  <si>
    <t>돌출부</t>
    <phoneticPr fontId="1" type="noConversion"/>
  </si>
  <si>
    <t>도구의 잘못 사용</t>
    <phoneticPr fontId="1" type="noConversion"/>
  </si>
  <si>
    <t>피로</t>
    <phoneticPr fontId="1" type="noConversion"/>
  </si>
  <si>
    <t>충돌</t>
    <phoneticPr fontId="1" type="noConversion"/>
  </si>
  <si>
    <t>안전난간</t>
    <phoneticPr fontId="1" type="noConversion"/>
  </si>
  <si>
    <t>무거운 짐 취급</t>
    <phoneticPr fontId="1" type="noConversion"/>
  </si>
  <si>
    <t>스트레스</t>
    <phoneticPr fontId="1" type="noConversion"/>
  </si>
  <si>
    <t>낙하</t>
    <phoneticPr fontId="1" type="noConversion"/>
  </si>
  <si>
    <t>작업발판</t>
    <phoneticPr fontId="1" type="noConversion"/>
  </si>
  <si>
    <t>보호구</t>
    <phoneticPr fontId="1" type="noConversion"/>
  </si>
  <si>
    <t>자만심</t>
    <phoneticPr fontId="1" type="noConversion"/>
  </si>
  <si>
    <t>비래</t>
    <phoneticPr fontId="1" type="noConversion"/>
  </si>
  <si>
    <t>개구부</t>
    <phoneticPr fontId="1" type="noConversion"/>
  </si>
  <si>
    <t>불안전한 자세</t>
    <phoneticPr fontId="1" type="noConversion"/>
  </si>
  <si>
    <t>붕괴</t>
    <phoneticPr fontId="1" type="noConversion"/>
  </si>
  <si>
    <t>전기</t>
    <phoneticPr fontId="1" type="noConversion"/>
  </si>
  <si>
    <t>협착</t>
    <phoneticPr fontId="1" type="noConversion"/>
  </si>
  <si>
    <t>운전장비</t>
    <phoneticPr fontId="1" type="noConversion"/>
  </si>
  <si>
    <t xml:space="preserve">     불안전한 행동 : </t>
    <phoneticPr fontId="3" type="noConversion"/>
  </si>
  <si>
    <t>요통</t>
    <phoneticPr fontId="1" type="noConversion"/>
  </si>
  <si>
    <t>정리정돈</t>
    <phoneticPr fontId="1" type="noConversion"/>
  </si>
  <si>
    <t>화상/동상</t>
    <phoneticPr fontId="1" type="noConversion"/>
  </si>
  <si>
    <t>자연재해</t>
    <phoneticPr fontId="1" type="noConversion"/>
  </si>
  <si>
    <t>설비 사고</t>
    <phoneticPr fontId="1" type="noConversion"/>
  </si>
  <si>
    <t>계단</t>
    <phoneticPr fontId="1" type="noConversion"/>
  </si>
  <si>
    <t>유해물질 접촉</t>
    <phoneticPr fontId="1" type="noConversion"/>
  </si>
  <si>
    <t>낙석</t>
    <phoneticPr fontId="1" type="noConversion"/>
  </si>
  <si>
    <t>화재/ 폭발</t>
    <phoneticPr fontId="1" type="noConversion"/>
  </si>
  <si>
    <t>폭설/ 결빙</t>
    <phoneticPr fontId="1" type="noConversion"/>
  </si>
  <si>
    <t>익사</t>
    <phoneticPr fontId="1" type="noConversion"/>
  </si>
  <si>
    <t>절단/ 찰과상</t>
    <phoneticPr fontId="1" type="noConversion"/>
  </si>
  <si>
    <t>동물/ 뱀/ 벌</t>
    <phoneticPr fontId="1" type="noConversion"/>
  </si>
  <si>
    <t>사고 방지를 위해</t>
    <phoneticPr fontId="3" type="noConversion"/>
  </si>
  <si>
    <t>※ 보고자가 조치한 사항이 있는경우에 기록 해 주시기 바랍니다.</t>
    <phoneticPr fontId="3" type="noConversion"/>
  </si>
  <si>
    <t>분류 불능</t>
    <phoneticPr fontId="1" type="noConversion"/>
  </si>
  <si>
    <t>제3자</t>
    <phoneticPr fontId="1" type="noConversion"/>
  </si>
  <si>
    <t xml:space="preserve">저는 이렇게 </t>
    <phoneticPr fontId="3" type="noConversion"/>
  </si>
  <si>
    <t>차량사고</t>
    <phoneticPr fontId="1" type="noConversion"/>
  </si>
  <si>
    <t>조명/ 환경</t>
    <phoneticPr fontId="1" type="noConversion"/>
  </si>
  <si>
    <t>조치하였습니다</t>
    <phoneticPr fontId="15" type="noConversion"/>
  </si>
  <si>
    <t xml:space="preserve"> ▶ 제안자는 위의 사항들만 작성하시어 관련팀에 제출하여 주시기 바랍니다.</t>
    <phoneticPr fontId="3" type="noConversion"/>
  </si>
  <si>
    <t>다음과 같은</t>
    <phoneticPr fontId="3" type="noConversion"/>
  </si>
  <si>
    <t>※ 아차사고확인자(접수팀)에 의해 수립된 계획</t>
    <phoneticPr fontId="3" type="noConversion"/>
  </si>
  <si>
    <t>조치를 취해</t>
    <phoneticPr fontId="3" type="noConversion"/>
  </si>
  <si>
    <t>주시기 바랍니다</t>
    <phoneticPr fontId="15" type="noConversion"/>
  </si>
  <si>
    <t>제안사항 확인</t>
    <phoneticPr fontId="3" type="noConversion"/>
  </si>
  <si>
    <t>접수팀</t>
    <phoneticPr fontId="3" type="noConversion"/>
  </si>
  <si>
    <t xml:space="preserve">(인)   </t>
    <phoneticPr fontId="3" type="noConversion"/>
  </si>
  <si>
    <t>안전관리팀으로 제출 후 개선계획을 기록/보관하여 주시기 바랍니다.</t>
    <phoneticPr fontId="3" type="noConversion"/>
  </si>
  <si>
    <t xml:space="preserve"> ▶ 접수팀에서는 접수 즉시 안전보건팀으로 제출하여 주시기 바랍니다.</t>
    <phoneticPr fontId="3" type="noConversion"/>
  </si>
  <si>
    <t>접수 확인</t>
    <phoneticPr fontId="3" type="noConversion"/>
  </si>
  <si>
    <t>안전관리팀</t>
    <phoneticPr fontId="3" type="noConversion"/>
  </si>
  <si>
    <t>▶ 접수팀에서는 팀장 확인 후 자체 보관하여 주시기 바랍니다.</t>
    <phoneticPr fontId="3" type="noConversion"/>
  </si>
  <si>
    <r>
      <t xml:space="preserve"> * </t>
    </r>
    <r>
      <rPr>
        <i/>
        <u/>
        <sz val="10"/>
        <rFont val="맑은 고딕"/>
        <family val="3"/>
        <charset val="129"/>
      </rPr>
      <t>사진제출 필요시</t>
    </r>
    <r>
      <rPr>
        <sz val="10"/>
        <rFont val="맑은 고딕"/>
        <family val="3"/>
        <charset val="129"/>
      </rPr>
      <t>는 별도로 제출 또는 뒷면에 부착 하시기 바랍니다.</t>
    </r>
    <phoneticPr fontId="3" type="noConversion"/>
  </si>
  <si>
    <t>부주의한 행동</t>
  </si>
  <si>
    <t>부주의한 상태</t>
  </si>
  <si>
    <t>계단턱에 걸리거나 미끄러져서 바닥에 몸이 부딪힘</t>
  </si>
  <si>
    <t>이동 시 난간을 잡지 않고 빠른 속도로 이동함.</t>
  </si>
  <si>
    <t>조도가 낮은 상태에서 주변 확인을 하지 못함</t>
  </si>
  <si>
    <t>광산현대화 BC2 벨트에서 이동식 비계를 옮기던 중 미끄러짐</t>
  </si>
  <si>
    <t>BC2벨트 구조물 위에 안착해놨던 이동식 비계를 CRUSHER방향으로 테스트 겸 밀던 중 벨트위에 고여있던 물들과 부석들이 발에 걸리며 미끄러질뻔함.</t>
  </si>
  <si>
    <t>이동하기 전에 이동경로에 장애물이 있는지 사전 조사실시 미흡.</t>
  </si>
  <si>
    <t>기타: 무거운 짐 취급</t>
  </si>
  <si>
    <t>서두르다가 이동경로의 장애물을 생각하지 못함.</t>
  </si>
  <si>
    <t>공구를 체결 시 손잡이와 파이프가 수직상태에 놓이지 않은 상태로, 몸의 위치가 손잡이 중심선에서 많이 벗어난 상태였음</t>
  </si>
  <si>
    <t>급하게 작업하기보단 공구가 체결된거 확인후&lt;br&gt;안전하게 작업</t>
  </si>
  <si>
    <t>급하게 작업하기보단 공구가 체결된거 확인후_x000D_
안전하게 작업</t>
  </si>
  <si>
    <t>4k inlet 이젝터 청소를 하다 바닥에 나사가 떨어짐, 나사를 찾으려 움직이다 바닥에 넘어질 뻔함</t>
  </si>
  <si>
    <t>바닥 근처에 공구가방이 있었는데 나사를 찾으려다 확인하지 못함</t>
  </si>
  <si>
    <t>보고서ID</t>
    <phoneticPr fontId="1" type="noConversion"/>
  </si>
  <si>
    <t>계단에서 미끄러짐</t>
  </si>
  <si>
    <t>아차사고선택목록</t>
    <phoneticPr fontId="1" type="noConversion"/>
  </si>
  <si>
    <t>절단/찰과상</t>
  </si>
  <si>
    <t>절단/찰과상</t>
    <phoneticPr fontId="1" type="noConversion"/>
  </si>
  <si>
    <t>김동훈</t>
  </si>
  <si>
    <t>작업중 부딪침.</t>
  </si>
  <si>
    <t>2호 IDF PROBE 앞.</t>
  </si>
  <si>
    <t>IDF 펌프 및 라인 청소 중 조도 문제로 바닥 구조물에 부딪치고 넘어질 뻔 함.</t>
  </si>
  <si>
    <t>작업중 부주의하여 부딪침.</t>
  </si>
  <si>
    <t>조명/환경</t>
  </si>
  <si>
    <t>기타: 부주의</t>
  </si>
  <si>
    <t>작업 중 부주의가 원인으로 구조물이 있는 동선에서 작업 하지 않도록 함.</t>
  </si>
  <si>
    <t>2k kiln inlet 이젝터 볼트 체결 과정 중 스패너가 튀어 작업자의 입술에 부딪침</t>
  </si>
  <si>
    <t>2k kiln inlet 가스실 내부</t>
  </si>
  <si>
    <t>2k kiln inlet 가스실 내부에서 이젝터에 원터치 너트를 체결하기 위해 스패너를 사용하던 중 손에서 스패너가 이탈하여 작업자의 입술에 부딪침</t>
  </si>
  <si>
    <t>불안전한 상태_x000D_
도구 및 장비_x000D_
_x000D_
불안전한 행동_x000D_
도구의 잘못 사용_x000D_
_x000D_
부주의한 행동_x000D_
위험을 생각하지 않음_x000D_
_x000D_
부주의한 상태_x000D_
자만심</t>
  </si>
  <si>
    <t>작업 시 너트 크기와 맞는 스패너(공구)를 사용, 공구 사용 시 손에 꼭 쥐고 사용하도록 숙지</t>
  </si>
  <si>
    <t>4호 IDF 필터 청소 중 분진에 의한 기침</t>
  </si>
  <si>
    <t>4K IDF실</t>
  </si>
  <si>
    <t>IDF 필터 청소 중 분진 흡입 및 안구에 들어감</t>
  </si>
  <si>
    <t>필터에 먼지가 많이 껴있었는데 바람이 불면서 그대로 흡임 및 안구에 들어감</t>
  </si>
  <si>
    <t>기타: 평소에 없었던 일이라 생각도 안하고 있었음.</t>
  </si>
  <si>
    <t>필터 청소시 방진마스크 착용, 틈새 유무 상호 확인 및 보안경 착용 철저 후 작업</t>
  </si>
  <si>
    <t>3호 Probe 스프레관 청소 중 시멘트 가루 흡입</t>
  </si>
  <si>
    <t>3K Probe 앞</t>
  </si>
  <si>
    <t>3호 Probe 스프레이관 청소 중 시멘트 가루 떨어져서 땀이 차있던 곳인 작업복 및 안면에 가루 묻어서 따가움을 느낌</t>
  </si>
  <si>
    <t>바닥 및 층 위에 잔여 시멘트가루가 진동 및 타격 시 떨어짐으로써 가루가 묻음</t>
  </si>
  <si>
    <t>기타: 분진 흡입</t>
  </si>
  <si>
    <t>바닥 및 시멘트 가루 정리 정돈 후 작업</t>
  </si>
  <si>
    <t>앙카드릴 작업 중 낙석</t>
  </si>
  <si>
    <t>BC2 벨트 풀코드위치 4-1</t>
  </si>
  <si>
    <t>전선관 설치 작업 중 천장에 앙카드릴 사용하여 앙카를 박아야했음. 앙카드릴 사용하여 천장을 뚫으니 낙석 다수 발생.</t>
  </si>
  <si>
    <t>돌에 크랙이 약간 가있었음</t>
  </si>
  <si>
    <t>붕괴</t>
  </si>
  <si>
    <t>기타: 낙석 1회 벌생 후 다시 진행하니 2차발생</t>
  </si>
  <si>
    <t>기타: 낙석이 발생하여 불안했음</t>
  </si>
  <si>
    <t>지름5cm정도의 낙석이 2회나 발생하여 천장을 확인해보니 지름 30cm정도의 돌들이 크랙이 나있는걸 확인함. 그 후 망치로 금이 가있는 부분을 모두 제거 후 작업 진행</t>
  </si>
  <si>
    <t>차량 이동시 주변 미확인으로 인한 위험</t>
  </si>
  <si>
    <t>출입구 자재창고 주변 삼거리</t>
  </si>
  <si>
    <t>출입구를 지나 진행하다 자재창고 근처 삼거리에서 주변 사물 인식을 못해 사고날뻔함</t>
  </si>
  <si>
    <t>차안 자재가 떨어져 줍다가 인식을 못함</t>
  </si>
  <si>
    <t>차량사고</t>
  </si>
  <si>
    <t>운전장비</t>
  </si>
  <si>
    <t>차량 운행시 운전에만 오로지 집중하였습니다주변 사물을 잘 살피며 출발전 공기구 점검 또한 확실히 준비 해놓고 출발하였습니다</t>
  </si>
  <si>
    <t>3호 IDF 필터 빼다가 뒤로 넘어갈뻔 했습니다</t>
  </si>
  <si>
    <t>3K IDF 실</t>
  </si>
  <si>
    <t>오늘 3호 IDF 필터 청소 하기전 필터를 잡아 뽑는순간 뒤에있는 난간으로 넘어질뻔 했습니다</t>
  </si>
  <si>
    <t>필터 빼기전에 발 위치부터 넓게 잡고 주변에 위험한 환경이 있는지 주변 파악한후 작업을 하도록 하겠습니다</t>
  </si>
  <si>
    <t>몸을 난간 정면으로 두기보다 약간측면으로 서고한 번에 잡아 잡아댕기지 말고 천천히 작업하도록 하겠습니다</t>
  </si>
  <si>
    <t>조명/환경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</si>
</sst>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12"/>
      <name val="바탕체"/>
      <family val="1"/>
      <charset val="129"/>
    </font>
    <font>
      <sz val="12"/>
      <name val="맑은 고딕"/>
      <family val="3"/>
      <charset val="129"/>
      <scheme val="minor"/>
    </font>
    <font>
      <sz val="12"/>
      <name val="돋움체"/>
      <family val="3"/>
      <charset val="129"/>
    </font>
    <font>
      <b/>
      <sz val="24"/>
      <name val="맑은 고딕"/>
      <family val="3"/>
      <charset val="129"/>
      <scheme val="minor"/>
    </font>
    <font>
      <sz val="24"/>
      <name val="맑은 고딕"/>
      <family val="3"/>
      <charset val="129"/>
    </font>
    <font>
      <b/>
      <sz val="24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8"/>
      <name val="돋움"/>
      <family val="3"/>
      <charset val="129"/>
    </font>
    <font>
      <sz val="6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i/>
      <u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shrinkToFit="1"/>
    </xf>
    <xf numFmtId="0" fontId="4" fillId="0" borderId="0" xfId="2" applyFont="1"/>
    <xf numFmtId="0" fontId="4" fillId="0" borderId="0" xfId="2" applyFont="1" applyAlignment="1">
      <alignment shrinkToFit="1"/>
    </xf>
    <xf numFmtId="0" fontId="9" fillId="0" borderId="0" xfId="2" applyFont="1" applyAlignment="1">
      <alignment vertical="center"/>
    </xf>
    <xf numFmtId="0" fontId="6" fillId="0" borderId="0" xfId="2" applyFont="1" applyAlignment="1">
      <alignment horizontal="centerContinuous" vertical="center"/>
    </xf>
    <xf numFmtId="0" fontId="10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31" fontId="9" fillId="0" borderId="0" xfId="2" applyNumberFormat="1" applyFont="1" applyAlignment="1">
      <alignment vertical="center"/>
    </xf>
    <xf numFmtId="31" fontId="9" fillId="0" borderId="1" xfId="2" applyNumberFormat="1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4" fillId="0" borderId="0" xfId="2" applyFont="1" applyAlignment="1">
      <alignment vertical="center" shrinkToFit="1"/>
    </xf>
    <xf numFmtId="0" fontId="4" fillId="0" borderId="0" xfId="2" applyFont="1" applyAlignment="1">
      <alignment vertical="center"/>
    </xf>
    <xf numFmtId="0" fontId="11" fillId="0" borderId="8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4" fillId="0" borderId="13" xfId="2" applyFont="1" applyBorder="1" applyAlignment="1">
      <alignment vertical="center"/>
    </xf>
    <xf numFmtId="0" fontId="4" fillId="0" borderId="12" xfId="2" applyFont="1" applyBorder="1" applyAlignment="1">
      <alignment horizontal="center" vertical="center"/>
    </xf>
    <xf numFmtId="0" fontId="13" fillId="0" borderId="0" xfId="2" quotePrefix="1" applyFont="1" applyAlignment="1">
      <alignment vertical="center"/>
    </xf>
    <xf numFmtId="31" fontId="4" fillId="0" borderId="0" xfId="2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13" fillId="0" borderId="12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/>
    </xf>
    <xf numFmtId="0" fontId="13" fillId="2" borderId="19" xfId="2" applyFont="1" applyFill="1" applyBorder="1" applyAlignment="1">
      <alignment vertical="center"/>
    </xf>
    <xf numFmtId="0" fontId="13" fillId="2" borderId="17" xfId="2" applyFont="1" applyFill="1" applyBorder="1" applyAlignment="1">
      <alignment vertical="center"/>
    </xf>
    <xf numFmtId="0" fontId="13" fillId="0" borderId="22" xfId="2" applyFont="1" applyBorder="1" applyAlignment="1">
      <alignment vertical="center"/>
    </xf>
    <xf numFmtId="0" fontId="13" fillId="2" borderId="9" xfId="2" applyFont="1" applyFill="1" applyBorder="1" applyAlignment="1">
      <alignment vertical="center"/>
    </xf>
    <xf numFmtId="0" fontId="13" fillId="2" borderId="10" xfId="2" applyFont="1" applyFill="1" applyBorder="1" applyAlignment="1">
      <alignment vertical="center"/>
    </xf>
    <xf numFmtId="0" fontId="13" fillId="0" borderId="27" xfId="2" applyFont="1" applyBorder="1" applyAlignment="1">
      <alignment vertical="center"/>
    </xf>
    <xf numFmtId="0" fontId="17" fillId="0" borderId="12" xfId="2" applyFont="1" applyBorder="1" applyAlignment="1">
      <alignment horizontal="center" vertical="center"/>
    </xf>
    <xf numFmtId="0" fontId="12" fillId="0" borderId="9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30" xfId="2" applyFont="1" applyBorder="1" applyAlignment="1">
      <alignment vertical="center"/>
    </xf>
    <xf numFmtId="0" fontId="13" fillId="0" borderId="31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 shrinkToFit="1"/>
    </xf>
    <xf numFmtId="0" fontId="18" fillId="0" borderId="31" xfId="2" applyFont="1" applyBorder="1" applyAlignment="1">
      <alignment horizontal="center" vertical="center" shrinkToFit="1"/>
    </xf>
    <xf numFmtId="0" fontId="19" fillId="0" borderId="8" xfId="2" applyFont="1" applyBorder="1" applyAlignment="1">
      <alignment horizontal="center" vertical="center"/>
    </xf>
    <xf numFmtId="0" fontId="4" fillId="0" borderId="35" xfId="2" applyFont="1" applyBorder="1" applyAlignment="1">
      <alignment horizontal="centerContinuous" vertical="center"/>
    </xf>
    <xf numFmtId="0" fontId="19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Continuous" vertical="center"/>
    </xf>
    <xf numFmtId="0" fontId="12" fillId="0" borderId="0" xfId="2" applyFont="1" applyAlignment="1">
      <alignment horizontal="left" vertical="top"/>
    </xf>
    <xf numFmtId="0" fontId="19" fillId="0" borderId="38" xfId="2" applyFont="1" applyBorder="1" applyAlignment="1">
      <alignment horizontal="right" vertical="center"/>
    </xf>
    <xf numFmtId="0" fontId="19" fillId="0" borderId="39" xfId="2" applyFont="1" applyBorder="1" applyAlignment="1">
      <alignment horizontal="right" vertical="center"/>
    </xf>
    <xf numFmtId="0" fontId="19" fillId="0" borderId="37" xfId="2" applyFont="1" applyBorder="1" applyAlignment="1">
      <alignment horizontal="right" vertical="center"/>
    </xf>
    <xf numFmtId="0" fontId="19" fillId="0" borderId="38" xfId="2" applyFont="1" applyBorder="1" applyAlignment="1">
      <alignment horizontal="center" vertical="center" wrapText="1"/>
    </xf>
    <xf numFmtId="0" fontId="19" fillId="0" borderId="39" xfId="2" applyFont="1" applyBorder="1" applyAlignment="1">
      <alignment horizontal="center" vertical="center" wrapText="1"/>
    </xf>
    <xf numFmtId="0" fontId="19" fillId="0" borderId="40" xfId="2" applyFont="1" applyBorder="1" applyAlignment="1">
      <alignment horizontal="center" vertical="center" wrapText="1"/>
    </xf>
    <xf numFmtId="0" fontId="19" fillId="0" borderId="41" xfId="2" applyFont="1" applyBorder="1" applyAlignment="1">
      <alignment horizontal="left" vertical="center"/>
    </xf>
    <xf numFmtId="0" fontId="19" fillId="0" borderId="39" xfId="2" applyFont="1" applyBorder="1" applyAlignment="1">
      <alignment horizontal="left" vertical="center"/>
    </xf>
    <xf numFmtId="0" fontId="19" fillId="0" borderId="40" xfId="2" applyFont="1" applyBorder="1" applyAlignment="1">
      <alignment horizontal="left" vertical="center"/>
    </xf>
    <xf numFmtId="0" fontId="4" fillId="0" borderId="14" xfId="2" applyFont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13" xfId="2" applyFont="1" applyBorder="1" applyAlignment="1">
      <alignment horizontal="left" vertical="top" wrapText="1"/>
    </xf>
    <xf numFmtId="0" fontId="4" fillId="0" borderId="28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left" vertical="top" wrapText="1"/>
    </xf>
    <xf numFmtId="0" fontId="11" fillId="3" borderId="32" xfId="2" applyFont="1" applyFill="1" applyBorder="1" applyAlignment="1">
      <alignment horizontal="left" vertical="center" wrapText="1"/>
    </xf>
    <xf numFmtId="0" fontId="11" fillId="3" borderId="33" xfId="2" applyFont="1" applyFill="1" applyBorder="1" applyAlignment="1">
      <alignment horizontal="left" vertical="center" wrapText="1"/>
    </xf>
    <xf numFmtId="0" fontId="11" fillId="3" borderId="34" xfId="2" applyFont="1" applyFill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top"/>
    </xf>
    <xf numFmtId="0" fontId="4" fillId="0" borderId="0" xfId="2" applyFont="1" applyAlignment="1">
      <alignment horizontal="left" vertical="top"/>
    </xf>
    <xf numFmtId="0" fontId="4" fillId="0" borderId="13" xfId="2" applyFont="1" applyBorder="1" applyAlignment="1">
      <alignment horizontal="left" vertical="top"/>
    </xf>
    <xf numFmtId="0" fontId="4" fillId="0" borderId="28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0" fontId="4" fillId="0" borderId="29" xfId="2" applyFont="1" applyBorder="1" applyAlignment="1">
      <alignment horizontal="left" vertical="top"/>
    </xf>
    <xf numFmtId="0" fontId="19" fillId="0" borderId="19" xfId="2" applyFont="1" applyBorder="1" applyAlignment="1">
      <alignment horizontal="right" vertical="center"/>
    </xf>
    <xf numFmtId="0" fontId="19" fillId="0" borderId="17" xfId="2" applyFont="1" applyBorder="1" applyAlignment="1">
      <alignment horizontal="right" vertical="center"/>
    </xf>
    <xf numFmtId="0" fontId="19" fillId="0" borderId="18" xfId="2" applyFont="1" applyBorder="1" applyAlignment="1">
      <alignment horizontal="right" vertical="center"/>
    </xf>
    <xf numFmtId="0" fontId="16" fillId="0" borderId="19" xfId="2" applyFont="1" applyBorder="1" applyAlignment="1">
      <alignment horizontal="center" vertical="center" wrapText="1"/>
    </xf>
    <xf numFmtId="0" fontId="16" fillId="0" borderId="17" xfId="2" applyFont="1" applyBorder="1" applyAlignment="1">
      <alignment horizontal="center" vertical="center" wrapText="1"/>
    </xf>
    <xf numFmtId="0" fontId="16" fillId="0" borderId="20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13" fillId="0" borderId="13" xfId="2" applyFont="1" applyBorder="1" applyAlignment="1">
      <alignment horizontal="left" vertical="top" wrapText="1"/>
    </xf>
    <xf numFmtId="0" fontId="13" fillId="2" borderId="2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6" fillId="2" borderId="17" xfId="2" applyFont="1" applyFill="1" applyBorder="1" applyAlignment="1">
      <alignment horizontal="left" vertical="center" wrapText="1"/>
    </xf>
    <xf numFmtId="0" fontId="16" fillId="2" borderId="17" xfId="2" applyFont="1" applyFill="1" applyBorder="1" applyAlignment="1">
      <alignment horizontal="left" vertical="center"/>
    </xf>
    <xf numFmtId="0" fontId="16" fillId="2" borderId="20" xfId="2" applyFont="1" applyFill="1" applyBorder="1" applyAlignment="1">
      <alignment horizontal="left" vertical="center"/>
    </xf>
    <xf numFmtId="0" fontId="13" fillId="0" borderId="21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26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6" fillId="2" borderId="10" xfId="2" applyFont="1" applyFill="1" applyBorder="1" applyAlignment="1">
      <alignment horizontal="left" vertical="center" wrapText="1"/>
    </xf>
    <xf numFmtId="0" fontId="16" fillId="2" borderId="10" xfId="2" applyFont="1" applyFill="1" applyBorder="1" applyAlignment="1">
      <alignment horizontal="left" vertical="center"/>
    </xf>
    <xf numFmtId="0" fontId="16" fillId="2" borderId="11" xfId="2" applyFont="1" applyFill="1" applyBorder="1" applyAlignment="1">
      <alignment horizontal="left" vertical="center"/>
    </xf>
    <xf numFmtId="0" fontId="4" fillId="0" borderId="23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6" fillId="0" borderId="0" xfId="2" applyFont="1" applyAlignment="1">
      <alignment horizontal="left" vertical="center"/>
    </xf>
    <xf numFmtId="31" fontId="9" fillId="0" borderId="1" xfId="2" applyNumberFormat="1" applyFont="1" applyBorder="1" applyAlignment="1">
      <alignment horizontal="left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22" fillId="0" borderId="9" xfId="2" applyFont="1" applyBorder="1" applyAlignment="1">
      <alignment horizontal="left" vertical="center"/>
    </xf>
    <xf numFmtId="0" fontId="22" fillId="0" borderId="10" xfId="2" applyFont="1" applyBorder="1" applyAlignment="1">
      <alignment horizontal="left" vertical="center"/>
    </xf>
    <xf numFmtId="0" fontId="22" fillId="0" borderId="11" xfId="2" applyFont="1" applyBorder="1" applyAlignment="1">
      <alignment horizontal="left" vertical="center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3">
    <cellStyle name="표준" xfId="0" builtinId="0"/>
    <cellStyle name="표준_99년 제안양식" xfId="2" xr:uid="{B3C7A9CB-D607-4EA8-B737-CA23553C4E40}"/>
    <cellStyle name="표준_제안지침" xfId="1" xr:uid="{4CDD0B56-A3EB-4E30-9606-26DF4EBA3DFE}"/>
  </cellStyles>
  <dxfs count="1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27" formatCode="yyyy/mm/dd\ h:mm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O$19" lockText="1" noThreeD="1"/>
</file>

<file path=xl/ctrlProps/ctrlProp2.xml><?xml version="1.0" encoding="utf-8"?>
<formControlPr xmlns="http://schemas.microsoft.com/office/spreadsheetml/2009/9/main" objectType="CheckBox" fmlaLink="$O$21" lockText="1" noThreeD="1"/>
</file>

<file path=xl/ctrlProps/ctrlProp3.xml><?xml version="1.0" encoding="utf-8"?>
<formControlPr xmlns="http://schemas.microsoft.com/office/spreadsheetml/2009/9/main" objectType="CheckBox" fmlaLink="$O$22" lockText="1" noThreeD="1"/>
</file>

<file path=xl/ctrlProps/ctrlProp4.xml><?xml version="1.0" encoding="utf-8"?>
<formControlPr xmlns="http://schemas.microsoft.com/office/spreadsheetml/2009/9/main" objectType="CheckBox" fmlaLink="$O$23" lockText="1" noThreeD="1"/>
</file>

<file path=xl/ctrlProps/ctrlProp5.xml><?xml version="1.0" encoding="utf-8"?>
<formControlPr xmlns="http://schemas.microsoft.com/office/spreadsheetml/2009/9/main" objectType="CheckBox" fmlaLink="$O$24" lockText="1" noThreeD="1"/>
</file>

<file path=xl/ctrlProps/ctrlProp6.xml><?xml version="1.0" encoding="utf-8"?>
<formControlPr xmlns="http://schemas.microsoft.com/office/spreadsheetml/2009/9/main" objectType="CheckBox" fmlaLink="$O$25" lockText="1" noThreeD="1"/>
</file>

<file path=xl/ctrlProps/ctrlProp7.xml><?xml version="1.0" encoding="utf-8"?>
<formControlPr xmlns="http://schemas.microsoft.com/office/spreadsheetml/2009/9/main" objectType="CheckBox" fmlaLink="$O$20" lockText="1" noThreeD="1"/>
</file>

<file path=xl/ctrlProps/ctrlProp8.xml><?xml version="1.0" encoding="utf-8"?>
<formControlPr xmlns="http://schemas.microsoft.com/office/spreadsheetml/2009/9/main" objectType="CheckBox" checked="Checked" fmlaLink="$O$26" lockText="1" noThreeD="1"/>
</file>

<file path=xl/ctrlProps/ctrlProp9.xml><?xml version="1.0" encoding="utf-8"?>
<formControlPr xmlns="http://schemas.microsoft.com/office/spreadsheetml/2009/9/main" objectType="CheckBox" fmlaLink="$Q$19" lockText="1" noThreeD="1"/>
</file>

<file path=xl/ctrlProps/ctrlProp10.xml><?xml version="1.0" encoding="utf-8"?>
<formControlPr xmlns="http://schemas.microsoft.com/office/spreadsheetml/2009/9/main" objectType="CheckBox" checked="Checked" fmlaLink="$Q$20" lockText="1" noThreeD="1"/>
</file>

<file path=xl/ctrlProps/ctrlProp11.xml><?xml version="1.0" encoding="utf-8"?>
<formControlPr xmlns="http://schemas.microsoft.com/office/spreadsheetml/2009/9/main" objectType="CheckBox" fmlaLink="$S$19" lockText="1" noThreeD="1"/>
</file>

<file path=xl/ctrlProps/ctrlProp12.xml><?xml version="1.0" encoding="utf-8"?>
<formControlPr xmlns="http://schemas.microsoft.com/office/spreadsheetml/2009/9/main" objectType="CheckBox" checked="Checked" fmlaLink="$S$20" lockText="1" noThreeD="1"/>
</file>

<file path=xl/ctrlProps/ctrlProp13.xml><?xml version="1.0" encoding="utf-8"?>
<formControlPr xmlns="http://schemas.microsoft.com/office/spreadsheetml/2009/9/main" objectType="CheckBox" fmlaLink="$S$21" lockText="1" noThreeD="1"/>
</file>

<file path=xl/ctrlProps/ctrlProp14.xml><?xml version="1.0" encoding="utf-8"?>
<formControlPr xmlns="http://schemas.microsoft.com/office/spreadsheetml/2009/9/main" objectType="CheckBox" fmlaLink="$S$22" lockText="1" noThreeD="1"/>
</file>

<file path=xl/ctrlProps/ctrlProp15.xml><?xml version="1.0" encoding="utf-8"?>
<formControlPr xmlns="http://schemas.microsoft.com/office/spreadsheetml/2009/9/main" objectType="CheckBox" fmlaLink="$M$34" lockText="1" noThreeD="1"/>
</file>

<file path=xl/ctrlProps/ctrlProp16.xml><?xml version="1.0" encoding="utf-8"?>
<formControlPr xmlns="http://schemas.microsoft.com/office/spreadsheetml/2009/9/main" objectType="CheckBox" fmlaLink="$M$35" lockText="1" noThreeD="1"/>
</file>

<file path=xl/ctrlProps/ctrlProp17.xml><?xml version="1.0" encoding="utf-8"?>
<formControlPr xmlns="http://schemas.microsoft.com/office/spreadsheetml/2009/9/main" objectType="CheckBox" fmlaLink="$M$28" lockText="1" noThreeD="1"/>
</file>

<file path=xl/ctrlProps/ctrlProp18.xml><?xml version="1.0" encoding="utf-8"?>
<formControlPr xmlns="http://schemas.microsoft.com/office/spreadsheetml/2009/9/main" objectType="CheckBox" fmlaLink="$M$29" lockText="1" noThreeD="1"/>
</file>

<file path=xl/ctrlProps/ctrlProp19.xml><?xml version="1.0" encoding="utf-8"?>
<formControlPr xmlns="http://schemas.microsoft.com/office/spreadsheetml/2009/9/main" objectType="CheckBox" fmlaLink="$M$30" lockText="1" noThreeD="1"/>
</file>

<file path=xl/ctrlProps/ctrlProp20.xml><?xml version="1.0" encoding="utf-8"?>
<formControlPr xmlns="http://schemas.microsoft.com/office/spreadsheetml/2009/9/main" objectType="CheckBox" fmlaLink="$M$31" lockText="1" noThreeD="1"/>
</file>

<file path=xl/ctrlProps/ctrlProp21.xml><?xml version="1.0" encoding="utf-8"?>
<formControlPr xmlns="http://schemas.microsoft.com/office/spreadsheetml/2009/9/main" objectType="CheckBox" fmlaLink="$M$32" lockText="1" noThreeD="1"/>
</file>

<file path=xl/ctrlProps/ctrlProp22.xml><?xml version="1.0" encoding="utf-8"?>
<formControlPr xmlns="http://schemas.microsoft.com/office/spreadsheetml/2009/9/main" objectType="CheckBox" fmlaLink="$M$33" lockText="1" noThreeD="1"/>
</file>

<file path=xl/ctrlProps/ctrlProp23.xml><?xml version="1.0" encoding="utf-8"?>
<formControlPr xmlns="http://schemas.microsoft.com/office/spreadsheetml/2009/9/main" objectType="CheckBox" fmlaLink="$M$36" lockText="1" noThreeD="1"/>
</file>

<file path=xl/ctrlProps/ctrlProp24.xml><?xml version="1.0" encoding="utf-8"?>
<formControlPr xmlns="http://schemas.microsoft.com/office/spreadsheetml/2009/9/main" objectType="CheckBox" fmlaLink="$Q$21" lockText="1" noThreeD="1"/>
</file>

<file path=xl/ctrlProps/ctrlProp25.xml><?xml version="1.0" encoding="utf-8"?>
<formControlPr xmlns="http://schemas.microsoft.com/office/spreadsheetml/2009/9/main" objectType="CheckBox" fmlaLink="$Q$22" lockText="1" noThreeD="1"/>
</file>

<file path=xl/ctrlProps/ctrlProp26.xml><?xml version="1.0" encoding="utf-8"?>
<formControlPr xmlns="http://schemas.microsoft.com/office/spreadsheetml/2009/9/main" objectType="CheckBox" fmlaLink="$M$25" lockText="1" noThreeD="1"/>
</file>

<file path=xl/ctrlProps/ctrlProp27.xml><?xml version="1.0" encoding="utf-8"?>
<formControlPr xmlns="http://schemas.microsoft.com/office/spreadsheetml/2009/9/main" objectType="CheckBox" fmlaLink="$M$26" lockText="1" noThreeD="1"/>
</file>

<file path=xl/ctrlProps/ctrlProp28.xml><?xml version="1.0" encoding="utf-8"?>
<formControlPr xmlns="http://schemas.microsoft.com/office/spreadsheetml/2009/9/main" objectType="CheckBox" fmlaLink="$M$19" lockText="1" noThreeD="1"/>
</file>

<file path=xl/ctrlProps/ctrlProp29.xml><?xml version="1.0" encoding="utf-8"?>
<formControlPr xmlns="http://schemas.microsoft.com/office/spreadsheetml/2009/9/main" objectType="CheckBox" fmlaLink="$M$20" lockText="1" noThreeD="1"/>
</file>

<file path=xl/ctrlProps/ctrlProp30.xml><?xml version="1.0" encoding="utf-8"?>
<formControlPr xmlns="http://schemas.microsoft.com/office/spreadsheetml/2009/9/main" objectType="CheckBox" checked="Checked" fmlaLink="$M$21" lockText="1" noThreeD="1"/>
</file>

<file path=xl/ctrlProps/ctrlProp31.xml><?xml version="1.0" encoding="utf-8"?>
<formControlPr xmlns="http://schemas.microsoft.com/office/spreadsheetml/2009/9/main" objectType="CheckBox" fmlaLink="$M$22" lockText="1" noThreeD="1"/>
</file>

<file path=xl/ctrlProps/ctrlProp32.xml><?xml version="1.0" encoding="utf-8"?>
<formControlPr xmlns="http://schemas.microsoft.com/office/spreadsheetml/2009/9/main" objectType="CheckBox" fmlaLink="$M$23" lockText="1" noThreeD="1"/>
</file>

<file path=xl/ctrlProps/ctrlProp33.xml><?xml version="1.0" encoding="utf-8"?>
<formControlPr xmlns="http://schemas.microsoft.com/office/spreadsheetml/2009/9/main" objectType="CheckBox" fmlaLink="$M$24" lockText="1" noThreeD="1"/>
</file>

<file path=xl/ctrlProps/ctrlProp34.xml><?xml version="1.0" encoding="utf-8"?>
<formControlPr xmlns="http://schemas.microsoft.com/office/spreadsheetml/2009/9/main" objectType="CheckBox" fmlaLink="$M$27" lockText="1" noThreeD="1"/>
</file>

<file path=xl/ctrlProps/ctrlProp35.xml><?xml version="1.0" encoding="utf-8"?>
<formControlPr xmlns="http://schemas.microsoft.com/office/spreadsheetml/2009/9/main" objectType="CheckBox" fmlaLink="$K$34" lockText="1" noThreeD="1"/>
</file>

<file path=xl/ctrlProps/ctrlProp36.xml><?xml version="1.0" encoding="utf-8"?>
<formControlPr xmlns="http://schemas.microsoft.com/office/spreadsheetml/2009/9/main" objectType="CheckBox" fmlaLink="$K$35" lockText="1" noThreeD="1"/>
</file>

<file path=xl/ctrlProps/ctrlProp37.xml><?xml version="1.0" encoding="utf-8"?>
<formControlPr xmlns="http://schemas.microsoft.com/office/spreadsheetml/2009/9/main" objectType="CheckBox" fmlaLink="$K$28" lockText="1" noThreeD="1"/>
</file>

<file path=xl/ctrlProps/ctrlProp38.xml><?xml version="1.0" encoding="utf-8"?>
<formControlPr xmlns="http://schemas.microsoft.com/office/spreadsheetml/2009/9/main" objectType="CheckBox" fmlaLink="$K$29" lockText="1" noThreeD="1"/>
</file>

<file path=xl/ctrlProps/ctrlProp39.xml><?xml version="1.0" encoding="utf-8"?>
<formControlPr xmlns="http://schemas.microsoft.com/office/spreadsheetml/2009/9/main" objectType="CheckBox" fmlaLink="$K$30" lockText="1" noThreeD="1"/>
</file>

<file path=xl/ctrlProps/ctrlProp40.xml><?xml version="1.0" encoding="utf-8"?>
<formControlPr xmlns="http://schemas.microsoft.com/office/spreadsheetml/2009/9/main" objectType="CheckBox" fmlaLink="$K$31" lockText="1" noThreeD="1"/>
</file>

<file path=xl/ctrlProps/ctrlProp41.xml><?xml version="1.0" encoding="utf-8"?>
<formControlPr xmlns="http://schemas.microsoft.com/office/spreadsheetml/2009/9/main" objectType="CheckBox" fmlaLink="$K$32" lockText="1" noThreeD="1"/>
</file>

<file path=xl/ctrlProps/ctrlProp42.xml><?xml version="1.0" encoding="utf-8"?>
<formControlPr xmlns="http://schemas.microsoft.com/office/spreadsheetml/2009/9/main" objectType="CheckBox" fmlaLink="$K$33" lockText="1" noThreeD="1"/>
</file>

<file path=xl/ctrlProps/ctrlProp43.xml><?xml version="1.0" encoding="utf-8"?>
<formControlPr xmlns="http://schemas.microsoft.com/office/spreadsheetml/2009/9/main" objectType="CheckBox" fmlaLink="$K$36" lockText="1" noThreeD="1"/>
</file>

<file path=xl/ctrlProps/ctrlProp44.xml><?xml version="1.0" encoding="utf-8"?>
<formControlPr xmlns="http://schemas.microsoft.com/office/spreadsheetml/2009/9/main" objectType="CheckBox" fmlaLink="$K$25" lockText="1" noThreeD="1"/>
</file>

<file path=xl/ctrlProps/ctrlProp45.xml><?xml version="1.0" encoding="utf-8"?>
<formControlPr xmlns="http://schemas.microsoft.com/office/spreadsheetml/2009/9/main" objectType="CheckBox" fmlaLink="$K$26" lockText="1" noThreeD="1"/>
</file>

<file path=xl/ctrlProps/ctrlProp46.xml><?xml version="1.0" encoding="utf-8"?>
<formControlPr xmlns="http://schemas.microsoft.com/office/spreadsheetml/2009/9/main" objectType="CheckBox" fmlaLink="$K$19" lockText="1" noThreeD="1"/>
</file>

<file path=xl/ctrlProps/ctrlProp47.xml><?xml version="1.0" encoding="utf-8"?>
<formControlPr xmlns="http://schemas.microsoft.com/office/spreadsheetml/2009/9/main" objectType="CheckBox" checked="Checked" fmlaLink="$K$20" lockText="1" noThreeD="1"/>
</file>

<file path=xl/ctrlProps/ctrlProp48.xml><?xml version="1.0" encoding="utf-8"?>
<formControlPr xmlns="http://schemas.microsoft.com/office/spreadsheetml/2009/9/main" objectType="CheckBox" fmlaLink="$K$21" lockText="1" noThreeD="1"/>
</file>

<file path=xl/ctrlProps/ctrlProp49.xml><?xml version="1.0" encoding="utf-8"?>
<formControlPr xmlns="http://schemas.microsoft.com/office/spreadsheetml/2009/9/main" objectType="CheckBox" fmlaLink="$K$22" lockText="1" noThreeD="1"/>
</file>

<file path=xl/ctrlProps/ctrlProp50.xml><?xml version="1.0" encoding="utf-8"?>
<formControlPr xmlns="http://schemas.microsoft.com/office/spreadsheetml/2009/9/main" objectType="CheckBox" fmlaLink="$K$23" lockText="1" noThreeD="1"/>
</file>

<file path=xl/ctrlProps/ctrlProp51.xml><?xml version="1.0" encoding="utf-8"?>
<formControlPr xmlns="http://schemas.microsoft.com/office/spreadsheetml/2009/9/main" objectType="CheckBox" fmlaLink="$K$24" lockText="1" noThreeD="1"/>
</file>

<file path=xl/ctrlProps/ctrlProp52.xml><?xml version="1.0" encoding="utf-8"?>
<formControlPr xmlns="http://schemas.microsoft.com/office/spreadsheetml/2009/9/main" objectType="CheckBox" fmlaLink="$K$27" lockText="1" noThreeD="1"/>
</file>

<file path=xl/ctrlProps/ctrlProp53.xml><?xml version="1.0" encoding="utf-8"?>
<formControlPr xmlns="http://schemas.microsoft.com/office/spreadsheetml/2009/9/main" objectType="CheckBox" fmlaLink="$O$19" lockText="1" noThreeD="1"/>
</file>

<file path=xl/ctrlProps/ctrlProp54.xml><?xml version="1.0" encoding="utf-8"?>
<formControlPr xmlns="http://schemas.microsoft.com/office/spreadsheetml/2009/9/main" objectType="CheckBox" fmlaLink="$O$21" lockText="1" noThreeD="1"/>
</file>

<file path=xl/ctrlProps/ctrlProp55.xml><?xml version="1.0" encoding="utf-8"?>
<formControlPr xmlns="http://schemas.microsoft.com/office/spreadsheetml/2009/9/main" objectType="CheckBox" fmlaLink="$O$22" lockText="1" noThreeD="1"/>
</file>

<file path=xl/ctrlProps/ctrlProp56.xml><?xml version="1.0" encoding="utf-8"?>
<formControlPr xmlns="http://schemas.microsoft.com/office/spreadsheetml/2009/9/main" objectType="CheckBox" checked="Checked" fmlaLink="$O$23" lockText="1" noThreeD="1"/>
</file>

<file path=xl/ctrlProps/ctrlProp57.xml><?xml version="1.0" encoding="utf-8"?>
<formControlPr xmlns="http://schemas.microsoft.com/office/spreadsheetml/2009/9/main" objectType="CheckBox" fmlaLink="$O$24" lockText="1" noThreeD="1"/>
</file>

<file path=xl/ctrlProps/ctrlProp58.xml><?xml version="1.0" encoding="utf-8"?>
<formControlPr xmlns="http://schemas.microsoft.com/office/spreadsheetml/2009/9/main" objectType="CheckBox" fmlaLink="$O$25" lockText="1" noThreeD="1"/>
</file>

<file path=xl/ctrlProps/ctrlProp59.xml><?xml version="1.0" encoding="utf-8"?>
<formControlPr xmlns="http://schemas.microsoft.com/office/spreadsheetml/2009/9/main" objectType="CheckBox" fmlaLink="$O$20" lockText="1" noThreeD="1"/>
</file>

<file path=xl/ctrlProps/ctrlProp60.xml><?xml version="1.0" encoding="utf-8"?>
<formControlPr xmlns="http://schemas.microsoft.com/office/spreadsheetml/2009/9/main" objectType="CheckBox" fmlaLink="$O$26" lockText="1" noThreeD="1"/>
</file>

<file path=xl/ctrlProps/ctrlProp61.xml><?xml version="1.0" encoding="utf-8"?>
<formControlPr xmlns="http://schemas.microsoft.com/office/spreadsheetml/2009/9/main" objectType="CheckBox" checked="Checked" fmlaLink="$Q$19" lockText="1" noThreeD="1"/>
</file>

<file path=xl/ctrlProps/ctrlProp62.xml><?xml version="1.0" encoding="utf-8"?>
<formControlPr xmlns="http://schemas.microsoft.com/office/spreadsheetml/2009/9/main" objectType="CheckBox" fmlaLink="$Q$20" lockText="1" noThreeD="1"/>
</file>

<file path=xl/ctrlProps/ctrlProp63.xml><?xml version="1.0" encoding="utf-8"?>
<formControlPr xmlns="http://schemas.microsoft.com/office/spreadsheetml/2009/9/main" objectType="CheckBox" checked="Checked" fmlaLink="$S$19" lockText="1" noThreeD="1"/>
</file>

<file path=xl/ctrlProps/ctrlProp64.xml><?xml version="1.0" encoding="utf-8"?>
<formControlPr xmlns="http://schemas.microsoft.com/office/spreadsheetml/2009/9/main" objectType="CheckBox" fmlaLink="$S$20" lockText="1" noThreeD="1"/>
</file>

<file path=xl/ctrlProps/ctrlProp65.xml><?xml version="1.0" encoding="utf-8"?>
<formControlPr xmlns="http://schemas.microsoft.com/office/spreadsheetml/2009/9/main" objectType="CheckBox" fmlaLink="$S$21" lockText="1" noThreeD="1"/>
</file>

<file path=xl/ctrlProps/ctrlProp66.xml><?xml version="1.0" encoding="utf-8"?>
<formControlPr xmlns="http://schemas.microsoft.com/office/spreadsheetml/2009/9/main" objectType="CheckBox" fmlaLink="$S$22" lockText="1" noThreeD="1"/>
</file>

<file path=xl/ctrlProps/ctrlProp67.xml><?xml version="1.0" encoding="utf-8"?>
<formControlPr xmlns="http://schemas.microsoft.com/office/spreadsheetml/2009/9/main" objectType="CheckBox" fmlaLink="$M$34" lockText="1" noThreeD="1"/>
</file>

<file path=xl/ctrlProps/ctrlProp68.xml><?xml version="1.0" encoding="utf-8"?>
<formControlPr xmlns="http://schemas.microsoft.com/office/spreadsheetml/2009/9/main" objectType="CheckBox" fmlaLink="$M$35" lockText="1" noThreeD="1"/>
</file>

<file path=xl/ctrlProps/ctrlProp69.xml><?xml version="1.0" encoding="utf-8"?>
<formControlPr xmlns="http://schemas.microsoft.com/office/spreadsheetml/2009/9/main" objectType="CheckBox" fmlaLink="$M$28" lockText="1" noThreeD="1"/>
</file>

<file path=xl/ctrlProps/ctrlProp70.xml><?xml version="1.0" encoding="utf-8"?>
<formControlPr xmlns="http://schemas.microsoft.com/office/spreadsheetml/2009/9/main" objectType="CheckBox" fmlaLink="$M$29" lockText="1" noThreeD="1"/>
</file>

<file path=xl/ctrlProps/ctrlProp71.xml><?xml version="1.0" encoding="utf-8"?>
<formControlPr xmlns="http://schemas.microsoft.com/office/spreadsheetml/2009/9/main" objectType="CheckBox" fmlaLink="$M$30" lockText="1" noThreeD="1"/>
</file>

<file path=xl/ctrlProps/ctrlProp72.xml><?xml version="1.0" encoding="utf-8"?>
<formControlPr xmlns="http://schemas.microsoft.com/office/spreadsheetml/2009/9/main" objectType="CheckBox" fmlaLink="$M$31" lockText="1" noThreeD="1"/>
</file>

<file path=xl/ctrlProps/ctrlProp73.xml><?xml version="1.0" encoding="utf-8"?>
<formControlPr xmlns="http://schemas.microsoft.com/office/spreadsheetml/2009/9/main" objectType="CheckBox" fmlaLink="$M$32" lockText="1" noThreeD="1"/>
</file>

<file path=xl/ctrlProps/ctrlProp74.xml><?xml version="1.0" encoding="utf-8"?>
<formControlPr xmlns="http://schemas.microsoft.com/office/spreadsheetml/2009/9/main" objectType="CheckBox" fmlaLink="$M$33" lockText="1" noThreeD="1"/>
</file>

<file path=xl/ctrlProps/ctrlProp75.xml><?xml version="1.0" encoding="utf-8"?>
<formControlPr xmlns="http://schemas.microsoft.com/office/spreadsheetml/2009/9/main" objectType="CheckBox" fmlaLink="$M$36" lockText="1" noThreeD="1"/>
</file>

<file path=xl/ctrlProps/ctrlProp76.xml><?xml version="1.0" encoding="utf-8"?>
<formControlPr xmlns="http://schemas.microsoft.com/office/spreadsheetml/2009/9/main" objectType="CheckBox" fmlaLink="$Q$21" lockText="1" noThreeD="1"/>
</file>

<file path=xl/ctrlProps/ctrlProp77.xml><?xml version="1.0" encoding="utf-8"?>
<formControlPr xmlns="http://schemas.microsoft.com/office/spreadsheetml/2009/9/main" objectType="CheckBox" fmlaLink="$Q$22" lockText="1" noThreeD="1"/>
</file>

<file path=xl/ctrlProps/ctrlProp78.xml><?xml version="1.0" encoding="utf-8"?>
<formControlPr xmlns="http://schemas.microsoft.com/office/spreadsheetml/2009/9/main" objectType="CheckBox" fmlaLink="$M$25" lockText="1" noThreeD="1"/>
</file>

<file path=xl/ctrlProps/ctrlProp79.xml><?xml version="1.0" encoding="utf-8"?>
<formControlPr xmlns="http://schemas.microsoft.com/office/spreadsheetml/2009/9/main" objectType="CheckBox" fmlaLink="$M$26" lockText="1" noThreeD="1"/>
</file>

<file path=xl/ctrlProps/ctrlProp80.xml><?xml version="1.0" encoding="utf-8"?>
<formControlPr xmlns="http://schemas.microsoft.com/office/spreadsheetml/2009/9/main" objectType="CheckBox" fmlaLink="$M$19" lockText="1" noThreeD="1"/>
</file>

<file path=xl/ctrlProps/ctrlProp81.xml><?xml version="1.0" encoding="utf-8"?>
<formControlPr xmlns="http://schemas.microsoft.com/office/spreadsheetml/2009/9/main" objectType="CheckBox" fmlaLink="$M$20" lockText="1" noThreeD="1"/>
</file>

<file path=xl/ctrlProps/ctrlProp82.xml><?xml version="1.0" encoding="utf-8"?>
<formControlPr xmlns="http://schemas.microsoft.com/office/spreadsheetml/2009/9/main" objectType="CheckBox" fmlaLink="$M$21" lockText="1" noThreeD="1"/>
</file>

<file path=xl/ctrlProps/ctrlProp83.xml><?xml version="1.0" encoding="utf-8"?>
<formControlPr xmlns="http://schemas.microsoft.com/office/spreadsheetml/2009/9/main" objectType="CheckBox" fmlaLink="$M$22" lockText="1" noThreeD="1"/>
</file>

<file path=xl/ctrlProps/ctrlProp84.xml><?xml version="1.0" encoding="utf-8"?>
<formControlPr xmlns="http://schemas.microsoft.com/office/spreadsheetml/2009/9/main" objectType="CheckBox" fmlaLink="$M$23" lockText="1" noThreeD="1"/>
</file>

<file path=xl/ctrlProps/ctrlProp85.xml><?xml version="1.0" encoding="utf-8"?>
<formControlPr xmlns="http://schemas.microsoft.com/office/spreadsheetml/2009/9/main" objectType="CheckBox" fmlaLink="$M$24" lockText="1" noThreeD="1"/>
</file>

<file path=xl/ctrlProps/ctrlProp86.xml><?xml version="1.0" encoding="utf-8"?>
<formControlPr xmlns="http://schemas.microsoft.com/office/spreadsheetml/2009/9/main" objectType="CheckBox" checked="Checked" fmlaLink="$M$27" lockText="1" noThreeD="1"/>
</file>

<file path=xl/ctrlProps/ctrlProp87.xml><?xml version="1.0" encoding="utf-8"?>
<formControlPr xmlns="http://schemas.microsoft.com/office/spreadsheetml/2009/9/main" objectType="CheckBox" fmlaLink="$K$34" lockText="1" noThreeD="1"/>
</file>

<file path=xl/ctrlProps/ctrlProp88.xml><?xml version="1.0" encoding="utf-8"?>
<formControlPr xmlns="http://schemas.microsoft.com/office/spreadsheetml/2009/9/main" objectType="CheckBox" fmlaLink="$K$35" lockText="1" noThreeD="1"/>
</file>

<file path=xl/ctrlProps/ctrlProp89.xml><?xml version="1.0" encoding="utf-8"?>
<formControlPr xmlns="http://schemas.microsoft.com/office/spreadsheetml/2009/9/main" objectType="CheckBox" fmlaLink="$K$28" lockText="1" noThreeD="1"/>
</file>

<file path=xl/ctrlProps/ctrlProp90.xml><?xml version="1.0" encoding="utf-8"?>
<formControlPr xmlns="http://schemas.microsoft.com/office/spreadsheetml/2009/9/main" objectType="CheckBox" fmlaLink="$K$29" lockText="1" noThreeD="1"/>
</file>

<file path=xl/ctrlProps/ctrlProp91.xml><?xml version="1.0" encoding="utf-8"?>
<formControlPr xmlns="http://schemas.microsoft.com/office/spreadsheetml/2009/9/main" objectType="CheckBox" fmlaLink="$K$30" lockText="1" noThreeD="1"/>
</file>

<file path=xl/ctrlProps/ctrlProp92.xml><?xml version="1.0" encoding="utf-8"?>
<formControlPr xmlns="http://schemas.microsoft.com/office/spreadsheetml/2009/9/main" objectType="CheckBox" fmlaLink="$K$31" lockText="1" noThreeD="1"/>
</file>

<file path=xl/ctrlProps/ctrlProp93.xml><?xml version="1.0" encoding="utf-8"?>
<formControlPr xmlns="http://schemas.microsoft.com/office/spreadsheetml/2009/9/main" objectType="CheckBox" fmlaLink="$K$32" lockText="1" noThreeD="1"/>
</file>

<file path=xl/ctrlProps/ctrlProp94.xml><?xml version="1.0" encoding="utf-8"?>
<formControlPr xmlns="http://schemas.microsoft.com/office/spreadsheetml/2009/9/main" objectType="CheckBox" fmlaLink="$K$33" lockText="1" noThreeD="1"/>
</file>

<file path=xl/ctrlProps/ctrlProp95.xml><?xml version="1.0" encoding="utf-8"?>
<formControlPr xmlns="http://schemas.microsoft.com/office/spreadsheetml/2009/9/main" objectType="CheckBox" fmlaLink="$K$36" lockText="1" noThreeD="1"/>
</file>

<file path=xl/ctrlProps/ctrlProp96.xml><?xml version="1.0" encoding="utf-8"?>
<formControlPr xmlns="http://schemas.microsoft.com/office/spreadsheetml/2009/9/main" objectType="CheckBox" fmlaLink="$K$25" lockText="1" noThreeD="1"/>
</file>

<file path=xl/ctrlProps/ctrlProp97.xml><?xml version="1.0" encoding="utf-8"?>
<formControlPr xmlns="http://schemas.microsoft.com/office/spreadsheetml/2009/9/main" objectType="CheckBox" fmlaLink="$K$26" lockText="1" noThreeD="1"/>
</file>

<file path=xl/ctrlProps/ctrlProp98.xml><?xml version="1.0" encoding="utf-8"?>
<formControlPr xmlns="http://schemas.microsoft.com/office/spreadsheetml/2009/9/main" objectType="CheckBox" fmlaLink="$K$19" lockText="1" noThreeD="1"/>
</file>

<file path=xl/ctrlProps/ctrlProp99.xml><?xml version="1.0" encoding="utf-8"?>
<formControlPr xmlns="http://schemas.microsoft.com/office/spreadsheetml/2009/9/main" objectType="CheckBox" checked="Checked" fmlaLink="$K$20" lockText="1" noThreeD="1"/>
</file>

<file path=xl/ctrlProps/ctrlProp100.xml><?xml version="1.0" encoding="utf-8"?>
<formControlPr xmlns="http://schemas.microsoft.com/office/spreadsheetml/2009/9/main" objectType="CheckBox" fmlaLink="$K$21" lockText="1" noThreeD="1"/>
</file>

<file path=xl/ctrlProps/ctrlProp101.xml><?xml version="1.0" encoding="utf-8"?>
<formControlPr xmlns="http://schemas.microsoft.com/office/spreadsheetml/2009/9/main" objectType="CheckBox" fmlaLink="$K$22" lockText="1" noThreeD="1"/>
</file>

<file path=xl/ctrlProps/ctrlProp102.xml><?xml version="1.0" encoding="utf-8"?>
<formControlPr xmlns="http://schemas.microsoft.com/office/spreadsheetml/2009/9/main" objectType="CheckBox" fmlaLink="$K$23" lockText="1" noThreeD="1"/>
</file>

<file path=xl/ctrlProps/ctrlProp103.xml><?xml version="1.0" encoding="utf-8"?>
<formControlPr xmlns="http://schemas.microsoft.com/office/spreadsheetml/2009/9/main" objectType="CheckBox" fmlaLink="$K$24" lockText="1" noThreeD="1"/>
</file>

<file path=xl/ctrlProps/ctrlProp104.xml><?xml version="1.0" encoding="utf-8"?>
<formControlPr xmlns="http://schemas.microsoft.com/office/spreadsheetml/2009/9/main" objectType="CheckBox" fmlaLink="$K$27" lockText="1" noThreeD="1"/>
</file>

<file path=xl/ctrlProps/ctrlProp105.xml><?xml version="1.0" encoding="utf-8"?>
<formControlPr xmlns="http://schemas.microsoft.com/office/spreadsheetml/2009/9/main" objectType="CheckBox" fmlaLink="$O$19" lockText="1" noThreeD="1"/>
</file>

<file path=xl/ctrlProps/ctrlProp106.xml><?xml version="1.0" encoding="utf-8"?>
<formControlPr xmlns="http://schemas.microsoft.com/office/spreadsheetml/2009/9/main" objectType="CheckBox" fmlaLink="$O$21" lockText="1" noThreeD="1"/>
</file>

<file path=xl/ctrlProps/ctrlProp107.xml><?xml version="1.0" encoding="utf-8"?>
<formControlPr xmlns="http://schemas.microsoft.com/office/spreadsheetml/2009/9/main" objectType="CheckBox" fmlaLink="$O$22" lockText="1" noThreeD="1"/>
</file>

<file path=xl/ctrlProps/ctrlProp108.xml><?xml version="1.0" encoding="utf-8"?>
<formControlPr xmlns="http://schemas.microsoft.com/office/spreadsheetml/2009/9/main" objectType="CheckBox" checked="Checked" fmlaLink="$O$23" lockText="1" noThreeD="1"/>
</file>

<file path=xl/ctrlProps/ctrlProp109.xml><?xml version="1.0" encoding="utf-8"?>
<formControlPr xmlns="http://schemas.microsoft.com/office/spreadsheetml/2009/9/main" objectType="CheckBox" fmlaLink="$O$24" lockText="1" noThreeD="1"/>
</file>

<file path=xl/ctrlProps/ctrlProp110.xml><?xml version="1.0" encoding="utf-8"?>
<formControlPr xmlns="http://schemas.microsoft.com/office/spreadsheetml/2009/9/main" objectType="CheckBox" fmlaLink="$O$25" lockText="1" noThreeD="1"/>
</file>

<file path=xl/ctrlProps/ctrlProp111.xml><?xml version="1.0" encoding="utf-8"?>
<formControlPr xmlns="http://schemas.microsoft.com/office/spreadsheetml/2009/9/main" objectType="CheckBox" fmlaLink="$O$20" lockText="1" noThreeD="1"/>
</file>

<file path=xl/ctrlProps/ctrlProp112.xml><?xml version="1.0" encoding="utf-8"?>
<formControlPr xmlns="http://schemas.microsoft.com/office/spreadsheetml/2009/9/main" objectType="CheckBox" fmlaLink="$O$26" lockText="1" noThreeD="1"/>
</file>

<file path=xl/ctrlProps/ctrlProp113.xml><?xml version="1.0" encoding="utf-8"?>
<formControlPr xmlns="http://schemas.microsoft.com/office/spreadsheetml/2009/9/main" objectType="CheckBox" fmlaLink="$Q$19" lockText="1" noThreeD="1"/>
</file>

<file path=xl/ctrlProps/ctrlProp114.xml><?xml version="1.0" encoding="utf-8"?>
<formControlPr xmlns="http://schemas.microsoft.com/office/spreadsheetml/2009/9/main" objectType="CheckBox" checked="Checked" fmlaLink="$Q$20" lockText="1" noThreeD="1"/>
</file>

<file path=xl/ctrlProps/ctrlProp115.xml><?xml version="1.0" encoding="utf-8"?>
<formControlPr xmlns="http://schemas.microsoft.com/office/spreadsheetml/2009/9/main" objectType="CheckBox" checked="Checked" fmlaLink="$S$19" lockText="1" noThreeD="1"/>
</file>

<file path=xl/ctrlProps/ctrlProp116.xml><?xml version="1.0" encoding="utf-8"?>
<formControlPr xmlns="http://schemas.microsoft.com/office/spreadsheetml/2009/9/main" objectType="CheckBox" fmlaLink="$S$20" lockText="1" noThreeD="1"/>
</file>

<file path=xl/ctrlProps/ctrlProp117.xml><?xml version="1.0" encoding="utf-8"?>
<formControlPr xmlns="http://schemas.microsoft.com/office/spreadsheetml/2009/9/main" objectType="CheckBox" fmlaLink="$S$21" lockText="1" noThreeD="1"/>
</file>

<file path=xl/ctrlProps/ctrlProp118.xml><?xml version="1.0" encoding="utf-8"?>
<formControlPr xmlns="http://schemas.microsoft.com/office/spreadsheetml/2009/9/main" objectType="CheckBox" fmlaLink="$S$22" lockText="1" noThreeD="1"/>
</file>

<file path=xl/ctrlProps/ctrlProp119.xml><?xml version="1.0" encoding="utf-8"?>
<formControlPr xmlns="http://schemas.microsoft.com/office/spreadsheetml/2009/9/main" objectType="CheckBox" fmlaLink="$M$34" lockText="1" noThreeD="1"/>
</file>

<file path=xl/ctrlProps/ctrlProp120.xml><?xml version="1.0" encoding="utf-8"?>
<formControlPr xmlns="http://schemas.microsoft.com/office/spreadsheetml/2009/9/main" objectType="CheckBox" fmlaLink="$M$35" lockText="1" noThreeD="1"/>
</file>

<file path=xl/ctrlProps/ctrlProp121.xml><?xml version="1.0" encoding="utf-8"?>
<formControlPr xmlns="http://schemas.microsoft.com/office/spreadsheetml/2009/9/main" objectType="CheckBox" fmlaLink="$M$28" lockText="1" noThreeD="1"/>
</file>

<file path=xl/ctrlProps/ctrlProp122.xml><?xml version="1.0" encoding="utf-8"?>
<formControlPr xmlns="http://schemas.microsoft.com/office/spreadsheetml/2009/9/main" objectType="CheckBox" fmlaLink="$M$29" lockText="1" noThreeD="1"/>
</file>

<file path=xl/ctrlProps/ctrlProp123.xml><?xml version="1.0" encoding="utf-8"?>
<formControlPr xmlns="http://schemas.microsoft.com/office/spreadsheetml/2009/9/main" objectType="CheckBox" fmlaLink="$M$30" lockText="1" noThreeD="1"/>
</file>

<file path=xl/ctrlProps/ctrlProp124.xml><?xml version="1.0" encoding="utf-8"?>
<formControlPr xmlns="http://schemas.microsoft.com/office/spreadsheetml/2009/9/main" objectType="CheckBox" fmlaLink="$M$31" lockText="1" noThreeD="1"/>
</file>

<file path=xl/ctrlProps/ctrlProp125.xml><?xml version="1.0" encoding="utf-8"?>
<formControlPr xmlns="http://schemas.microsoft.com/office/spreadsheetml/2009/9/main" objectType="CheckBox" fmlaLink="$M$32" lockText="1" noThreeD="1"/>
</file>

<file path=xl/ctrlProps/ctrlProp126.xml><?xml version="1.0" encoding="utf-8"?>
<formControlPr xmlns="http://schemas.microsoft.com/office/spreadsheetml/2009/9/main" objectType="CheckBox" checked="Checked" fmlaLink="$M$33" lockText="1" noThreeD="1"/>
</file>

<file path=xl/ctrlProps/ctrlProp127.xml><?xml version="1.0" encoding="utf-8"?>
<formControlPr xmlns="http://schemas.microsoft.com/office/spreadsheetml/2009/9/main" objectType="CheckBox" fmlaLink="$M$36" lockText="1" noThreeD="1"/>
</file>

<file path=xl/ctrlProps/ctrlProp128.xml><?xml version="1.0" encoding="utf-8"?>
<formControlPr xmlns="http://schemas.microsoft.com/office/spreadsheetml/2009/9/main" objectType="CheckBox" fmlaLink="$Q$21" lockText="1" noThreeD="1"/>
</file>

<file path=xl/ctrlProps/ctrlProp129.xml><?xml version="1.0" encoding="utf-8"?>
<formControlPr xmlns="http://schemas.microsoft.com/office/spreadsheetml/2009/9/main" objectType="CheckBox" fmlaLink="$Q$22" lockText="1" noThreeD="1"/>
</file>

<file path=xl/ctrlProps/ctrlProp130.xml><?xml version="1.0" encoding="utf-8"?>
<formControlPr xmlns="http://schemas.microsoft.com/office/spreadsheetml/2009/9/main" objectType="CheckBox" fmlaLink="$M$25" lockText="1" noThreeD="1"/>
</file>

<file path=xl/ctrlProps/ctrlProp131.xml><?xml version="1.0" encoding="utf-8"?>
<formControlPr xmlns="http://schemas.microsoft.com/office/spreadsheetml/2009/9/main" objectType="CheckBox" fmlaLink="$M$26" lockText="1" noThreeD="1"/>
</file>

<file path=xl/ctrlProps/ctrlProp132.xml><?xml version="1.0" encoding="utf-8"?>
<formControlPr xmlns="http://schemas.microsoft.com/office/spreadsheetml/2009/9/main" objectType="CheckBox" fmlaLink="$M$19" lockText="1" noThreeD="1"/>
</file>

<file path=xl/ctrlProps/ctrlProp133.xml><?xml version="1.0" encoding="utf-8"?>
<formControlPr xmlns="http://schemas.microsoft.com/office/spreadsheetml/2009/9/main" objectType="CheckBox" fmlaLink="$M$20" lockText="1" noThreeD="1"/>
</file>

<file path=xl/ctrlProps/ctrlProp134.xml><?xml version="1.0" encoding="utf-8"?>
<formControlPr xmlns="http://schemas.microsoft.com/office/spreadsheetml/2009/9/main" objectType="CheckBox" fmlaLink="$M$21" lockText="1" noThreeD="1"/>
</file>

<file path=xl/ctrlProps/ctrlProp135.xml><?xml version="1.0" encoding="utf-8"?>
<formControlPr xmlns="http://schemas.microsoft.com/office/spreadsheetml/2009/9/main" objectType="CheckBox" fmlaLink="$M$22" lockText="1" noThreeD="1"/>
</file>

<file path=xl/ctrlProps/ctrlProp136.xml><?xml version="1.0" encoding="utf-8"?>
<formControlPr xmlns="http://schemas.microsoft.com/office/spreadsheetml/2009/9/main" objectType="CheckBox" fmlaLink="$M$23" lockText="1" noThreeD="1"/>
</file>

<file path=xl/ctrlProps/ctrlProp137.xml><?xml version="1.0" encoding="utf-8"?>
<formControlPr xmlns="http://schemas.microsoft.com/office/spreadsheetml/2009/9/main" objectType="CheckBox" fmlaLink="$M$24" lockText="1" noThreeD="1"/>
</file>

<file path=xl/ctrlProps/ctrlProp138.xml><?xml version="1.0" encoding="utf-8"?>
<formControlPr xmlns="http://schemas.microsoft.com/office/spreadsheetml/2009/9/main" objectType="CheckBox" fmlaLink="$M$27" lockText="1" noThreeD="1"/>
</file>

<file path=xl/ctrlProps/ctrlProp139.xml><?xml version="1.0" encoding="utf-8"?>
<formControlPr xmlns="http://schemas.microsoft.com/office/spreadsheetml/2009/9/main" objectType="CheckBox" checked="Checked" fmlaLink="$K$34" lockText="1" noThreeD="1"/>
</file>

<file path=xl/ctrlProps/ctrlProp140.xml><?xml version="1.0" encoding="utf-8"?>
<formControlPr xmlns="http://schemas.microsoft.com/office/spreadsheetml/2009/9/main" objectType="CheckBox" fmlaLink="$K$35" lockText="1" noThreeD="1"/>
</file>

<file path=xl/ctrlProps/ctrlProp141.xml><?xml version="1.0" encoding="utf-8"?>
<formControlPr xmlns="http://schemas.microsoft.com/office/spreadsheetml/2009/9/main" objectType="CheckBox" fmlaLink="$K$28" lockText="1" noThreeD="1"/>
</file>

<file path=xl/ctrlProps/ctrlProp142.xml><?xml version="1.0" encoding="utf-8"?>
<formControlPr xmlns="http://schemas.microsoft.com/office/spreadsheetml/2009/9/main" objectType="CheckBox" fmlaLink="$K$29" lockText="1" noThreeD="1"/>
</file>

<file path=xl/ctrlProps/ctrlProp143.xml><?xml version="1.0" encoding="utf-8"?>
<formControlPr xmlns="http://schemas.microsoft.com/office/spreadsheetml/2009/9/main" objectType="CheckBox" fmlaLink="$K$30" lockText="1" noThreeD="1"/>
</file>

<file path=xl/ctrlProps/ctrlProp144.xml><?xml version="1.0" encoding="utf-8"?>
<formControlPr xmlns="http://schemas.microsoft.com/office/spreadsheetml/2009/9/main" objectType="CheckBox" fmlaLink="$K$31" lockText="1" noThreeD="1"/>
</file>

<file path=xl/ctrlProps/ctrlProp145.xml><?xml version="1.0" encoding="utf-8"?>
<formControlPr xmlns="http://schemas.microsoft.com/office/spreadsheetml/2009/9/main" objectType="CheckBox" fmlaLink="$K$32" lockText="1" noThreeD="1"/>
</file>

<file path=xl/ctrlProps/ctrlProp146.xml><?xml version="1.0" encoding="utf-8"?>
<formControlPr xmlns="http://schemas.microsoft.com/office/spreadsheetml/2009/9/main" objectType="CheckBox" fmlaLink="$K$33" lockText="1" noThreeD="1"/>
</file>

<file path=xl/ctrlProps/ctrlProp147.xml><?xml version="1.0" encoding="utf-8"?>
<formControlPr xmlns="http://schemas.microsoft.com/office/spreadsheetml/2009/9/main" objectType="CheckBox" fmlaLink="$K$36" lockText="1" noThreeD="1"/>
</file>

<file path=xl/ctrlProps/ctrlProp148.xml><?xml version="1.0" encoding="utf-8"?>
<formControlPr xmlns="http://schemas.microsoft.com/office/spreadsheetml/2009/9/main" objectType="CheckBox" fmlaLink="$K$25" lockText="1" noThreeD="1"/>
</file>

<file path=xl/ctrlProps/ctrlProp149.xml><?xml version="1.0" encoding="utf-8"?>
<formControlPr xmlns="http://schemas.microsoft.com/office/spreadsheetml/2009/9/main" objectType="CheckBox" fmlaLink="$K$26" lockText="1" noThreeD="1"/>
</file>

<file path=xl/ctrlProps/ctrlProp150.xml><?xml version="1.0" encoding="utf-8"?>
<formControlPr xmlns="http://schemas.microsoft.com/office/spreadsheetml/2009/9/main" objectType="CheckBox" fmlaLink="$K$19" lockText="1" noThreeD="1"/>
</file>

<file path=xl/ctrlProps/ctrlProp151.xml><?xml version="1.0" encoding="utf-8"?>
<formControlPr xmlns="http://schemas.microsoft.com/office/spreadsheetml/2009/9/main" objectType="CheckBox" fmlaLink="$K$20" lockText="1" noThreeD="1"/>
</file>

<file path=xl/ctrlProps/ctrlProp152.xml><?xml version="1.0" encoding="utf-8"?>
<formControlPr xmlns="http://schemas.microsoft.com/office/spreadsheetml/2009/9/main" objectType="CheckBox" fmlaLink="$K$21" lockText="1" noThreeD="1"/>
</file>

<file path=xl/ctrlProps/ctrlProp153.xml><?xml version="1.0" encoding="utf-8"?>
<formControlPr xmlns="http://schemas.microsoft.com/office/spreadsheetml/2009/9/main" objectType="CheckBox" fmlaLink="$K$22" lockText="1" noThreeD="1"/>
</file>

<file path=xl/ctrlProps/ctrlProp154.xml><?xml version="1.0" encoding="utf-8"?>
<formControlPr xmlns="http://schemas.microsoft.com/office/spreadsheetml/2009/9/main" objectType="CheckBox" fmlaLink="$K$23" lockText="1" noThreeD="1"/>
</file>

<file path=xl/ctrlProps/ctrlProp155.xml><?xml version="1.0" encoding="utf-8"?>
<formControlPr xmlns="http://schemas.microsoft.com/office/spreadsheetml/2009/9/main" objectType="CheckBox" fmlaLink="$K$24" lockText="1" noThreeD="1"/>
</file>

<file path=xl/ctrlProps/ctrlProp156.xml><?xml version="1.0" encoding="utf-8"?>
<formControlPr xmlns="http://schemas.microsoft.com/office/spreadsheetml/2009/9/main" objectType="CheckBox" fmlaLink="$K$27" lockText="1" noThreeD="1"/>
</file>

<file path=xl/ctrlProps/ctrlProp157.xml><?xml version="1.0" encoding="utf-8"?>
<formControlPr xmlns="http://schemas.microsoft.com/office/spreadsheetml/2009/9/main" objectType="CheckBox" fmlaLink="$O$19" lockText="1" noThreeD="1"/>
</file>

<file path=xl/ctrlProps/ctrlProp158.xml><?xml version="1.0" encoding="utf-8"?>
<formControlPr xmlns="http://schemas.microsoft.com/office/spreadsheetml/2009/9/main" objectType="CheckBox" fmlaLink="$O$21" lockText="1" noThreeD="1"/>
</file>

<file path=xl/ctrlProps/ctrlProp159.xml><?xml version="1.0" encoding="utf-8"?>
<formControlPr xmlns="http://schemas.microsoft.com/office/spreadsheetml/2009/9/main" objectType="CheckBox" fmlaLink="$O$22" lockText="1" noThreeD="1"/>
</file>

<file path=xl/ctrlProps/ctrlProp160.xml><?xml version="1.0" encoding="utf-8"?>
<formControlPr xmlns="http://schemas.microsoft.com/office/spreadsheetml/2009/9/main" objectType="CheckBox" checked="Checked" fmlaLink="$O$23" lockText="1" noThreeD="1"/>
</file>

<file path=xl/ctrlProps/ctrlProp161.xml><?xml version="1.0" encoding="utf-8"?>
<formControlPr xmlns="http://schemas.microsoft.com/office/spreadsheetml/2009/9/main" objectType="CheckBox" fmlaLink="$O$24" lockText="1" noThreeD="1"/>
</file>

<file path=xl/ctrlProps/ctrlProp162.xml><?xml version="1.0" encoding="utf-8"?>
<formControlPr xmlns="http://schemas.microsoft.com/office/spreadsheetml/2009/9/main" objectType="CheckBox" fmlaLink="$O$25" lockText="1" noThreeD="1"/>
</file>

<file path=xl/ctrlProps/ctrlProp163.xml><?xml version="1.0" encoding="utf-8"?>
<formControlPr xmlns="http://schemas.microsoft.com/office/spreadsheetml/2009/9/main" objectType="CheckBox" fmlaLink="$O$20" lockText="1" noThreeD="1"/>
</file>

<file path=xl/ctrlProps/ctrlProp164.xml><?xml version="1.0" encoding="utf-8"?>
<formControlPr xmlns="http://schemas.microsoft.com/office/spreadsheetml/2009/9/main" objectType="CheckBox" fmlaLink="$O$26" lockText="1" noThreeD="1"/>
</file>

<file path=xl/ctrlProps/ctrlProp165.xml><?xml version="1.0" encoding="utf-8"?>
<formControlPr xmlns="http://schemas.microsoft.com/office/spreadsheetml/2009/9/main" objectType="CheckBox" checked="Checked" fmlaLink="$Q$19" lockText="1" noThreeD="1"/>
</file>

<file path=xl/ctrlProps/ctrlProp166.xml><?xml version="1.0" encoding="utf-8"?>
<formControlPr xmlns="http://schemas.microsoft.com/office/spreadsheetml/2009/9/main" objectType="CheckBox" fmlaLink="$Q$20" lockText="1" noThreeD="1"/>
</file>

<file path=xl/ctrlProps/ctrlProp167.xml><?xml version="1.0" encoding="utf-8"?>
<formControlPr xmlns="http://schemas.microsoft.com/office/spreadsheetml/2009/9/main" objectType="CheckBox" fmlaLink="$S$19" lockText="1" noThreeD="1"/>
</file>

<file path=xl/ctrlProps/ctrlProp168.xml><?xml version="1.0" encoding="utf-8"?>
<formControlPr xmlns="http://schemas.microsoft.com/office/spreadsheetml/2009/9/main" objectType="CheckBox" fmlaLink="$S$20" lockText="1" noThreeD="1"/>
</file>

<file path=xl/ctrlProps/ctrlProp169.xml><?xml version="1.0" encoding="utf-8"?>
<formControlPr xmlns="http://schemas.microsoft.com/office/spreadsheetml/2009/9/main" objectType="CheckBox" fmlaLink="$S$21" lockText="1" noThreeD="1"/>
</file>

<file path=xl/ctrlProps/ctrlProp170.xml><?xml version="1.0" encoding="utf-8"?>
<formControlPr xmlns="http://schemas.microsoft.com/office/spreadsheetml/2009/9/main" objectType="CheckBox" checked="Checked" fmlaLink="$S$22" lockText="1" noThreeD="1"/>
</file>

<file path=xl/ctrlProps/ctrlProp171.xml><?xml version="1.0" encoding="utf-8"?>
<formControlPr xmlns="http://schemas.microsoft.com/office/spreadsheetml/2009/9/main" objectType="CheckBox" fmlaLink="$M$34" lockText="1" noThreeD="1"/>
</file>

<file path=xl/ctrlProps/ctrlProp172.xml><?xml version="1.0" encoding="utf-8"?>
<formControlPr xmlns="http://schemas.microsoft.com/office/spreadsheetml/2009/9/main" objectType="CheckBox" fmlaLink="$M$35" lockText="1" noThreeD="1"/>
</file>

<file path=xl/ctrlProps/ctrlProp173.xml><?xml version="1.0" encoding="utf-8"?>
<formControlPr xmlns="http://schemas.microsoft.com/office/spreadsheetml/2009/9/main" objectType="CheckBox" fmlaLink="$M$28" lockText="1" noThreeD="1"/>
</file>

<file path=xl/ctrlProps/ctrlProp174.xml><?xml version="1.0" encoding="utf-8"?>
<formControlPr xmlns="http://schemas.microsoft.com/office/spreadsheetml/2009/9/main" objectType="CheckBox" fmlaLink="$M$29" lockText="1" noThreeD="1"/>
</file>

<file path=xl/ctrlProps/ctrlProp175.xml><?xml version="1.0" encoding="utf-8"?>
<formControlPr xmlns="http://schemas.microsoft.com/office/spreadsheetml/2009/9/main" objectType="CheckBox" fmlaLink="$M$30" lockText="1" noThreeD="1"/>
</file>

<file path=xl/ctrlProps/ctrlProp176.xml><?xml version="1.0" encoding="utf-8"?>
<formControlPr xmlns="http://schemas.microsoft.com/office/spreadsheetml/2009/9/main" objectType="CheckBox" fmlaLink="$M$31" lockText="1" noThreeD="1"/>
</file>

<file path=xl/ctrlProps/ctrlProp177.xml><?xml version="1.0" encoding="utf-8"?>
<formControlPr xmlns="http://schemas.microsoft.com/office/spreadsheetml/2009/9/main" objectType="CheckBox" fmlaLink="$M$32" lockText="1" noThreeD="1"/>
</file>

<file path=xl/ctrlProps/ctrlProp178.xml><?xml version="1.0" encoding="utf-8"?>
<formControlPr xmlns="http://schemas.microsoft.com/office/spreadsheetml/2009/9/main" objectType="CheckBox" fmlaLink="$M$33" lockText="1" noThreeD="1"/>
</file>

<file path=xl/ctrlProps/ctrlProp179.xml><?xml version="1.0" encoding="utf-8"?>
<formControlPr xmlns="http://schemas.microsoft.com/office/spreadsheetml/2009/9/main" objectType="CheckBox" fmlaLink="$M$36" lockText="1" noThreeD="1"/>
</file>

<file path=xl/ctrlProps/ctrlProp180.xml><?xml version="1.0" encoding="utf-8"?>
<formControlPr xmlns="http://schemas.microsoft.com/office/spreadsheetml/2009/9/main" objectType="CheckBox" fmlaLink="$Q$21" lockText="1" noThreeD="1"/>
</file>

<file path=xl/ctrlProps/ctrlProp181.xml><?xml version="1.0" encoding="utf-8"?>
<formControlPr xmlns="http://schemas.microsoft.com/office/spreadsheetml/2009/9/main" objectType="CheckBox" fmlaLink="$Q$22" lockText="1" noThreeD="1"/>
</file>

<file path=xl/ctrlProps/ctrlProp182.xml><?xml version="1.0" encoding="utf-8"?>
<formControlPr xmlns="http://schemas.microsoft.com/office/spreadsheetml/2009/9/main" objectType="CheckBox" fmlaLink="$M$25" lockText="1" noThreeD="1"/>
</file>

<file path=xl/ctrlProps/ctrlProp183.xml><?xml version="1.0" encoding="utf-8"?>
<formControlPr xmlns="http://schemas.microsoft.com/office/spreadsheetml/2009/9/main" objectType="CheckBox" fmlaLink="$M$26" lockText="1" noThreeD="1"/>
</file>

<file path=xl/ctrlProps/ctrlProp184.xml><?xml version="1.0" encoding="utf-8"?>
<formControlPr xmlns="http://schemas.microsoft.com/office/spreadsheetml/2009/9/main" objectType="CheckBox" checked="Checked" fmlaLink="$M$19" lockText="1" noThreeD="1"/>
</file>

<file path=xl/ctrlProps/ctrlProp185.xml><?xml version="1.0" encoding="utf-8"?>
<formControlPr xmlns="http://schemas.microsoft.com/office/spreadsheetml/2009/9/main" objectType="CheckBox" fmlaLink="$M$20" lockText="1" noThreeD="1"/>
</file>

<file path=xl/ctrlProps/ctrlProp186.xml><?xml version="1.0" encoding="utf-8"?>
<formControlPr xmlns="http://schemas.microsoft.com/office/spreadsheetml/2009/9/main" objectType="CheckBox" fmlaLink="$M$21" lockText="1" noThreeD="1"/>
</file>

<file path=xl/ctrlProps/ctrlProp187.xml><?xml version="1.0" encoding="utf-8"?>
<formControlPr xmlns="http://schemas.microsoft.com/office/spreadsheetml/2009/9/main" objectType="CheckBox" fmlaLink="$M$22" lockText="1" noThreeD="1"/>
</file>

<file path=xl/ctrlProps/ctrlProp188.xml><?xml version="1.0" encoding="utf-8"?>
<formControlPr xmlns="http://schemas.microsoft.com/office/spreadsheetml/2009/9/main" objectType="CheckBox" fmlaLink="$M$23" lockText="1" noThreeD="1"/>
</file>

<file path=xl/ctrlProps/ctrlProp189.xml><?xml version="1.0" encoding="utf-8"?>
<formControlPr xmlns="http://schemas.microsoft.com/office/spreadsheetml/2009/9/main" objectType="CheckBox" fmlaLink="$M$24" lockText="1" noThreeD="1"/>
</file>

<file path=xl/ctrlProps/ctrlProp190.xml><?xml version="1.0" encoding="utf-8"?>
<formControlPr xmlns="http://schemas.microsoft.com/office/spreadsheetml/2009/9/main" objectType="CheckBox" fmlaLink="$M$27" lockText="1" noThreeD="1"/>
</file>

<file path=xl/ctrlProps/ctrlProp191.xml><?xml version="1.0" encoding="utf-8"?>
<formControlPr xmlns="http://schemas.microsoft.com/office/spreadsheetml/2009/9/main" objectType="CheckBox" fmlaLink="$K$34" lockText="1" noThreeD="1"/>
</file>

<file path=xl/ctrlProps/ctrlProp192.xml><?xml version="1.0" encoding="utf-8"?>
<formControlPr xmlns="http://schemas.microsoft.com/office/spreadsheetml/2009/9/main" objectType="CheckBox" fmlaLink="$K$35" lockText="1" noThreeD="1"/>
</file>

<file path=xl/ctrlProps/ctrlProp193.xml><?xml version="1.0" encoding="utf-8"?>
<formControlPr xmlns="http://schemas.microsoft.com/office/spreadsheetml/2009/9/main" objectType="CheckBox" fmlaLink="$K$28" lockText="1" noThreeD="1"/>
</file>

<file path=xl/ctrlProps/ctrlProp194.xml><?xml version="1.0" encoding="utf-8"?>
<formControlPr xmlns="http://schemas.microsoft.com/office/spreadsheetml/2009/9/main" objectType="CheckBox" fmlaLink="$K$29" lockText="1" noThreeD="1"/>
</file>

<file path=xl/ctrlProps/ctrlProp195.xml><?xml version="1.0" encoding="utf-8"?>
<formControlPr xmlns="http://schemas.microsoft.com/office/spreadsheetml/2009/9/main" objectType="CheckBox" fmlaLink="$K$30" lockText="1" noThreeD="1"/>
</file>

<file path=xl/ctrlProps/ctrlProp196.xml><?xml version="1.0" encoding="utf-8"?>
<formControlPr xmlns="http://schemas.microsoft.com/office/spreadsheetml/2009/9/main" objectType="CheckBox" fmlaLink="$K$31" lockText="1" noThreeD="1"/>
</file>

<file path=xl/ctrlProps/ctrlProp197.xml><?xml version="1.0" encoding="utf-8"?>
<formControlPr xmlns="http://schemas.microsoft.com/office/spreadsheetml/2009/9/main" objectType="CheckBox" fmlaLink="$K$32" lockText="1" noThreeD="1"/>
</file>

<file path=xl/ctrlProps/ctrlProp198.xml><?xml version="1.0" encoding="utf-8"?>
<formControlPr xmlns="http://schemas.microsoft.com/office/spreadsheetml/2009/9/main" objectType="CheckBox" fmlaLink="$K$33" lockText="1" noThreeD="1"/>
</file>

<file path=xl/ctrlProps/ctrlProp199.xml><?xml version="1.0" encoding="utf-8"?>
<formControlPr xmlns="http://schemas.microsoft.com/office/spreadsheetml/2009/9/main" objectType="CheckBox" fmlaLink="$K$36" lockText="1" noThreeD="1"/>
</file>

<file path=xl/ctrlProps/ctrlProp200.xml><?xml version="1.0" encoding="utf-8"?>
<formControlPr xmlns="http://schemas.microsoft.com/office/spreadsheetml/2009/9/main" objectType="CheckBox" fmlaLink="$K$25" lockText="1" noThreeD="1"/>
</file>

<file path=xl/ctrlProps/ctrlProp201.xml><?xml version="1.0" encoding="utf-8"?>
<formControlPr xmlns="http://schemas.microsoft.com/office/spreadsheetml/2009/9/main" objectType="CheckBox" fmlaLink="$K$26" lockText="1" noThreeD="1"/>
</file>

<file path=xl/ctrlProps/ctrlProp202.xml><?xml version="1.0" encoding="utf-8"?>
<formControlPr xmlns="http://schemas.microsoft.com/office/spreadsheetml/2009/9/main" objectType="CheckBox" fmlaLink="$K$19" lockText="1" noThreeD="1"/>
</file>

<file path=xl/ctrlProps/ctrlProp203.xml><?xml version="1.0" encoding="utf-8"?>
<formControlPr xmlns="http://schemas.microsoft.com/office/spreadsheetml/2009/9/main" objectType="CheckBox" checked="Checked" fmlaLink="$K$20" lockText="1" noThreeD="1"/>
</file>

<file path=xl/ctrlProps/ctrlProp204.xml><?xml version="1.0" encoding="utf-8"?>
<formControlPr xmlns="http://schemas.microsoft.com/office/spreadsheetml/2009/9/main" objectType="CheckBox" fmlaLink="$K$21" lockText="1" noThreeD="1"/>
</file>

<file path=xl/ctrlProps/ctrlProp205.xml><?xml version="1.0" encoding="utf-8"?>
<formControlPr xmlns="http://schemas.microsoft.com/office/spreadsheetml/2009/9/main" objectType="CheckBox" fmlaLink="$K$22" lockText="1" noThreeD="1"/>
</file>

<file path=xl/ctrlProps/ctrlProp206.xml><?xml version="1.0" encoding="utf-8"?>
<formControlPr xmlns="http://schemas.microsoft.com/office/spreadsheetml/2009/9/main" objectType="CheckBox" fmlaLink="$K$23" lockText="1" noThreeD="1"/>
</file>

<file path=xl/ctrlProps/ctrlProp207.xml><?xml version="1.0" encoding="utf-8"?>
<formControlPr xmlns="http://schemas.microsoft.com/office/spreadsheetml/2009/9/main" objectType="CheckBox" fmlaLink="$K$24" lockText="1" noThreeD="1"/>
</file>

<file path=xl/ctrlProps/ctrlProp208.xml><?xml version="1.0" encoding="utf-8"?>
<formControlPr xmlns="http://schemas.microsoft.com/office/spreadsheetml/2009/9/main" objectType="CheckBox" fmlaLink="$K$27" lockText="1" noThreeD="1"/>
</file>

<file path=xl/ctrlProps/ctrlProp209.xml><?xml version="1.0" encoding="utf-8"?>
<formControlPr xmlns="http://schemas.microsoft.com/office/spreadsheetml/2009/9/main" objectType="CheckBox" fmlaLink="$O$19" lockText="1" noThreeD="1"/>
</file>

<file path=xl/ctrlProps/ctrlProp210.xml><?xml version="1.0" encoding="utf-8"?>
<formControlPr xmlns="http://schemas.microsoft.com/office/spreadsheetml/2009/9/main" objectType="CheckBox" fmlaLink="$O$21" lockText="1" noThreeD="1"/>
</file>

<file path=xl/ctrlProps/ctrlProp211.xml><?xml version="1.0" encoding="utf-8"?>
<formControlPr xmlns="http://schemas.microsoft.com/office/spreadsheetml/2009/9/main" objectType="CheckBox" fmlaLink="$O$22" lockText="1" noThreeD="1"/>
</file>

<file path=xl/ctrlProps/ctrlProp212.xml><?xml version="1.0" encoding="utf-8"?>
<formControlPr xmlns="http://schemas.microsoft.com/office/spreadsheetml/2009/9/main" objectType="CheckBox" fmlaLink="$O$23" lockText="1" noThreeD="1"/>
</file>

<file path=xl/ctrlProps/ctrlProp213.xml><?xml version="1.0" encoding="utf-8"?>
<formControlPr xmlns="http://schemas.microsoft.com/office/spreadsheetml/2009/9/main" objectType="CheckBox" fmlaLink="$O$24" lockText="1" noThreeD="1"/>
</file>

<file path=xl/ctrlProps/ctrlProp214.xml><?xml version="1.0" encoding="utf-8"?>
<formControlPr xmlns="http://schemas.microsoft.com/office/spreadsheetml/2009/9/main" objectType="CheckBox" fmlaLink="$O$25" lockText="1" noThreeD="1"/>
</file>

<file path=xl/ctrlProps/ctrlProp215.xml><?xml version="1.0" encoding="utf-8"?>
<formControlPr xmlns="http://schemas.microsoft.com/office/spreadsheetml/2009/9/main" objectType="CheckBox" fmlaLink="$O$20" lockText="1" noThreeD="1"/>
</file>

<file path=xl/ctrlProps/ctrlProp216.xml><?xml version="1.0" encoding="utf-8"?>
<formControlPr xmlns="http://schemas.microsoft.com/office/spreadsheetml/2009/9/main" objectType="CheckBox" checked="Checked" fmlaLink="$O$26" lockText="1" noThreeD="1"/>
</file>

<file path=xl/ctrlProps/ctrlProp217.xml><?xml version="1.0" encoding="utf-8"?>
<formControlPr xmlns="http://schemas.microsoft.com/office/spreadsheetml/2009/9/main" objectType="CheckBox" fmlaLink="$Q$19" lockText="1" noThreeD="1"/>
</file>

<file path=xl/ctrlProps/ctrlProp218.xml><?xml version="1.0" encoding="utf-8"?>
<formControlPr xmlns="http://schemas.microsoft.com/office/spreadsheetml/2009/9/main" objectType="CheckBox" checked="Checked" fmlaLink="$Q$20" lockText="1" noThreeD="1"/>
</file>

<file path=xl/ctrlProps/ctrlProp219.xml><?xml version="1.0" encoding="utf-8"?>
<formControlPr xmlns="http://schemas.microsoft.com/office/spreadsheetml/2009/9/main" objectType="CheckBox" checked="Checked" fmlaLink="$S$19" lockText="1" noThreeD="1"/>
</file>

<file path=xl/ctrlProps/ctrlProp220.xml><?xml version="1.0" encoding="utf-8"?>
<formControlPr xmlns="http://schemas.microsoft.com/office/spreadsheetml/2009/9/main" objectType="CheckBox" fmlaLink="$S$20" lockText="1" noThreeD="1"/>
</file>

<file path=xl/ctrlProps/ctrlProp221.xml><?xml version="1.0" encoding="utf-8"?>
<formControlPr xmlns="http://schemas.microsoft.com/office/spreadsheetml/2009/9/main" objectType="CheckBox" fmlaLink="$S$21" lockText="1" noThreeD="1"/>
</file>

<file path=xl/ctrlProps/ctrlProp222.xml><?xml version="1.0" encoding="utf-8"?>
<formControlPr xmlns="http://schemas.microsoft.com/office/spreadsheetml/2009/9/main" objectType="CheckBox" fmlaLink="$S$22" lockText="1" noThreeD="1"/>
</file>

<file path=xl/ctrlProps/ctrlProp223.xml><?xml version="1.0" encoding="utf-8"?>
<formControlPr xmlns="http://schemas.microsoft.com/office/spreadsheetml/2009/9/main" objectType="CheckBox" fmlaLink="$M$34" lockText="1" noThreeD="1"/>
</file>

<file path=xl/ctrlProps/ctrlProp224.xml><?xml version="1.0" encoding="utf-8"?>
<formControlPr xmlns="http://schemas.microsoft.com/office/spreadsheetml/2009/9/main" objectType="CheckBox" fmlaLink="$M$35" lockText="1" noThreeD="1"/>
</file>

<file path=xl/ctrlProps/ctrlProp225.xml><?xml version="1.0" encoding="utf-8"?>
<formControlPr xmlns="http://schemas.microsoft.com/office/spreadsheetml/2009/9/main" objectType="CheckBox" fmlaLink="$M$28" lockText="1" noThreeD="1"/>
</file>

<file path=xl/ctrlProps/ctrlProp226.xml><?xml version="1.0" encoding="utf-8"?>
<formControlPr xmlns="http://schemas.microsoft.com/office/spreadsheetml/2009/9/main" objectType="CheckBox" fmlaLink="$M$29" lockText="1" noThreeD="1"/>
</file>

<file path=xl/ctrlProps/ctrlProp227.xml><?xml version="1.0" encoding="utf-8"?>
<formControlPr xmlns="http://schemas.microsoft.com/office/spreadsheetml/2009/9/main" objectType="CheckBox" fmlaLink="$M$30" lockText="1" noThreeD="1"/>
</file>

<file path=xl/ctrlProps/ctrlProp228.xml><?xml version="1.0" encoding="utf-8"?>
<formControlPr xmlns="http://schemas.microsoft.com/office/spreadsheetml/2009/9/main" objectType="CheckBox" fmlaLink="$M$31" lockText="1" noThreeD="1"/>
</file>

<file path=xl/ctrlProps/ctrlProp229.xml><?xml version="1.0" encoding="utf-8"?>
<formControlPr xmlns="http://schemas.microsoft.com/office/spreadsheetml/2009/9/main" objectType="CheckBox" fmlaLink="$M$32" lockText="1" noThreeD="1"/>
</file>

<file path=xl/ctrlProps/ctrlProp230.xml><?xml version="1.0" encoding="utf-8"?>
<formControlPr xmlns="http://schemas.microsoft.com/office/spreadsheetml/2009/9/main" objectType="CheckBox" fmlaLink="$M$33" lockText="1" noThreeD="1"/>
</file>

<file path=xl/ctrlProps/ctrlProp231.xml><?xml version="1.0" encoding="utf-8"?>
<formControlPr xmlns="http://schemas.microsoft.com/office/spreadsheetml/2009/9/main" objectType="CheckBox" fmlaLink="$M$36" lockText="1" noThreeD="1"/>
</file>

<file path=xl/ctrlProps/ctrlProp232.xml><?xml version="1.0" encoding="utf-8"?>
<formControlPr xmlns="http://schemas.microsoft.com/office/spreadsheetml/2009/9/main" objectType="CheckBox" fmlaLink="$Q$21" lockText="1" noThreeD="1"/>
</file>

<file path=xl/ctrlProps/ctrlProp233.xml><?xml version="1.0" encoding="utf-8"?>
<formControlPr xmlns="http://schemas.microsoft.com/office/spreadsheetml/2009/9/main" objectType="CheckBox" fmlaLink="$Q$22" lockText="1" noThreeD="1"/>
</file>

<file path=xl/ctrlProps/ctrlProp234.xml><?xml version="1.0" encoding="utf-8"?>
<formControlPr xmlns="http://schemas.microsoft.com/office/spreadsheetml/2009/9/main" objectType="CheckBox" fmlaLink="$M$25" lockText="1" noThreeD="1"/>
</file>

<file path=xl/ctrlProps/ctrlProp235.xml><?xml version="1.0" encoding="utf-8"?>
<formControlPr xmlns="http://schemas.microsoft.com/office/spreadsheetml/2009/9/main" objectType="CheckBox" fmlaLink="$M$26" lockText="1" noThreeD="1"/>
</file>

<file path=xl/ctrlProps/ctrlProp236.xml><?xml version="1.0" encoding="utf-8"?>
<formControlPr xmlns="http://schemas.microsoft.com/office/spreadsheetml/2009/9/main" objectType="CheckBox" checked="Checked" fmlaLink="$M$19" lockText="1" noThreeD="1"/>
</file>

<file path=xl/ctrlProps/ctrlProp237.xml><?xml version="1.0" encoding="utf-8"?>
<formControlPr xmlns="http://schemas.microsoft.com/office/spreadsheetml/2009/9/main" objectType="CheckBox" fmlaLink="$M$20" lockText="1" noThreeD="1"/>
</file>

<file path=xl/ctrlProps/ctrlProp238.xml><?xml version="1.0" encoding="utf-8"?>
<formControlPr xmlns="http://schemas.microsoft.com/office/spreadsheetml/2009/9/main" objectType="CheckBox" fmlaLink="$M$21" lockText="1" noThreeD="1"/>
</file>

<file path=xl/ctrlProps/ctrlProp239.xml><?xml version="1.0" encoding="utf-8"?>
<formControlPr xmlns="http://schemas.microsoft.com/office/spreadsheetml/2009/9/main" objectType="CheckBox" fmlaLink="$M$22" lockText="1" noThreeD="1"/>
</file>

<file path=xl/ctrlProps/ctrlProp240.xml><?xml version="1.0" encoding="utf-8"?>
<formControlPr xmlns="http://schemas.microsoft.com/office/spreadsheetml/2009/9/main" objectType="CheckBox" fmlaLink="$M$23" lockText="1" noThreeD="1"/>
</file>

<file path=xl/ctrlProps/ctrlProp241.xml><?xml version="1.0" encoding="utf-8"?>
<formControlPr xmlns="http://schemas.microsoft.com/office/spreadsheetml/2009/9/main" objectType="CheckBox" fmlaLink="$M$24" lockText="1" noThreeD="1"/>
</file>

<file path=xl/ctrlProps/ctrlProp242.xml><?xml version="1.0" encoding="utf-8"?>
<formControlPr xmlns="http://schemas.microsoft.com/office/spreadsheetml/2009/9/main" objectType="CheckBox" fmlaLink="$M$27" lockText="1" noThreeD="1"/>
</file>

<file path=xl/ctrlProps/ctrlProp243.xml><?xml version="1.0" encoding="utf-8"?>
<formControlPr xmlns="http://schemas.microsoft.com/office/spreadsheetml/2009/9/main" objectType="CheckBox" fmlaLink="$K$34" lockText="1" noThreeD="1"/>
</file>

<file path=xl/ctrlProps/ctrlProp244.xml><?xml version="1.0" encoding="utf-8"?>
<formControlPr xmlns="http://schemas.microsoft.com/office/spreadsheetml/2009/9/main" objectType="CheckBox" fmlaLink="$K$35" lockText="1" noThreeD="1"/>
</file>

<file path=xl/ctrlProps/ctrlProp245.xml><?xml version="1.0" encoding="utf-8"?>
<formControlPr xmlns="http://schemas.microsoft.com/office/spreadsheetml/2009/9/main" objectType="CheckBox" fmlaLink="$K$28" lockText="1" noThreeD="1"/>
</file>

<file path=xl/ctrlProps/ctrlProp246.xml><?xml version="1.0" encoding="utf-8"?>
<formControlPr xmlns="http://schemas.microsoft.com/office/spreadsheetml/2009/9/main" objectType="CheckBox" fmlaLink="$K$29" lockText="1" noThreeD="1"/>
</file>

<file path=xl/ctrlProps/ctrlProp247.xml><?xml version="1.0" encoding="utf-8"?>
<formControlPr xmlns="http://schemas.microsoft.com/office/spreadsheetml/2009/9/main" objectType="CheckBox" fmlaLink="$K$30" lockText="1" noThreeD="1"/>
</file>

<file path=xl/ctrlProps/ctrlProp248.xml><?xml version="1.0" encoding="utf-8"?>
<formControlPr xmlns="http://schemas.microsoft.com/office/spreadsheetml/2009/9/main" objectType="CheckBox" fmlaLink="$K$31" lockText="1" noThreeD="1"/>
</file>

<file path=xl/ctrlProps/ctrlProp249.xml><?xml version="1.0" encoding="utf-8"?>
<formControlPr xmlns="http://schemas.microsoft.com/office/spreadsheetml/2009/9/main" objectType="CheckBox" fmlaLink="$K$32" lockText="1" noThreeD="1"/>
</file>

<file path=xl/ctrlProps/ctrlProp250.xml><?xml version="1.0" encoding="utf-8"?>
<formControlPr xmlns="http://schemas.microsoft.com/office/spreadsheetml/2009/9/main" objectType="CheckBox" fmlaLink="$K$33" lockText="1" noThreeD="1"/>
</file>

<file path=xl/ctrlProps/ctrlProp251.xml><?xml version="1.0" encoding="utf-8"?>
<formControlPr xmlns="http://schemas.microsoft.com/office/spreadsheetml/2009/9/main" objectType="CheckBox" fmlaLink="$K$36" lockText="1" noThreeD="1"/>
</file>

<file path=xl/ctrlProps/ctrlProp252.xml><?xml version="1.0" encoding="utf-8"?>
<formControlPr xmlns="http://schemas.microsoft.com/office/spreadsheetml/2009/9/main" objectType="CheckBox" fmlaLink="$K$25" lockText="1" noThreeD="1"/>
</file>

<file path=xl/ctrlProps/ctrlProp253.xml><?xml version="1.0" encoding="utf-8"?>
<formControlPr xmlns="http://schemas.microsoft.com/office/spreadsheetml/2009/9/main" objectType="CheckBox" fmlaLink="$K$26" lockText="1" noThreeD="1"/>
</file>

<file path=xl/ctrlProps/ctrlProp254.xml><?xml version="1.0" encoding="utf-8"?>
<formControlPr xmlns="http://schemas.microsoft.com/office/spreadsheetml/2009/9/main" objectType="CheckBox" fmlaLink="$K$19" lockText="1" noThreeD="1"/>
</file>

<file path=xl/ctrlProps/ctrlProp255.xml><?xml version="1.0" encoding="utf-8"?>
<formControlPr xmlns="http://schemas.microsoft.com/office/spreadsheetml/2009/9/main" objectType="CheckBox" checked="Checked" fmlaLink="$K$20" lockText="1" noThreeD="1"/>
</file>

<file path=xl/ctrlProps/ctrlProp256.xml><?xml version="1.0" encoding="utf-8"?>
<formControlPr xmlns="http://schemas.microsoft.com/office/spreadsheetml/2009/9/main" objectType="CheckBox" fmlaLink="$K$21" lockText="1" noThreeD="1"/>
</file>

<file path=xl/ctrlProps/ctrlProp257.xml><?xml version="1.0" encoding="utf-8"?>
<formControlPr xmlns="http://schemas.microsoft.com/office/spreadsheetml/2009/9/main" objectType="CheckBox" fmlaLink="$K$22" lockText="1" noThreeD="1"/>
</file>

<file path=xl/ctrlProps/ctrlProp258.xml><?xml version="1.0" encoding="utf-8"?>
<formControlPr xmlns="http://schemas.microsoft.com/office/spreadsheetml/2009/9/main" objectType="CheckBox" fmlaLink="$K$23" lockText="1" noThreeD="1"/>
</file>

<file path=xl/ctrlProps/ctrlProp259.xml><?xml version="1.0" encoding="utf-8"?>
<formControlPr xmlns="http://schemas.microsoft.com/office/spreadsheetml/2009/9/main" objectType="CheckBox" fmlaLink="$K$24" lockText="1" noThreeD="1"/>
</file>

<file path=xl/ctrlProps/ctrlProp260.xml><?xml version="1.0" encoding="utf-8"?>
<formControlPr xmlns="http://schemas.microsoft.com/office/spreadsheetml/2009/9/main" objectType="CheckBox" fmlaLink="$K$27" lockText="1" noThreeD="1"/>
</file>

<file path=xl/ctrlProps/ctrlProp261.xml><?xml version="1.0" encoding="utf-8"?>
<formControlPr xmlns="http://schemas.microsoft.com/office/spreadsheetml/2009/9/main" objectType="CheckBox" fmlaLink="$O$19" lockText="1" noThreeD="1"/>
</file>

<file path=xl/ctrlProps/ctrlProp262.xml><?xml version="1.0" encoding="utf-8"?>
<formControlPr xmlns="http://schemas.microsoft.com/office/spreadsheetml/2009/9/main" objectType="CheckBox" fmlaLink="$O$21" lockText="1" noThreeD="1"/>
</file>

<file path=xl/ctrlProps/ctrlProp263.xml><?xml version="1.0" encoding="utf-8"?>
<formControlPr xmlns="http://schemas.microsoft.com/office/spreadsheetml/2009/9/main" objectType="CheckBox" fmlaLink="$O$22" lockText="1" noThreeD="1"/>
</file>

<file path=xl/ctrlProps/ctrlProp264.xml><?xml version="1.0" encoding="utf-8"?>
<formControlPr xmlns="http://schemas.microsoft.com/office/spreadsheetml/2009/9/main" objectType="CheckBox" checked="Checked" fmlaLink="$O$23" lockText="1" noThreeD="1"/>
</file>

<file path=xl/ctrlProps/ctrlProp265.xml><?xml version="1.0" encoding="utf-8"?>
<formControlPr xmlns="http://schemas.microsoft.com/office/spreadsheetml/2009/9/main" objectType="CheckBox" fmlaLink="$O$24" lockText="1" noThreeD="1"/>
</file>

<file path=xl/ctrlProps/ctrlProp266.xml><?xml version="1.0" encoding="utf-8"?>
<formControlPr xmlns="http://schemas.microsoft.com/office/spreadsheetml/2009/9/main" objectType="CheckBox" fmlaLink="$O$25" lockText="1" noThreeD="1"/>
</file>

<file path=xl/ctrlProps/ctrlProp267.xml><?xml version="1.0" encoding="utf-8"?>
<formControlPr xmlns="http://schemas.microsoft.com/office/spreadsheetml/2009/9/main" objectType="CheckBox" fmlaLink="$O$20" lockText="1" noThreeD="1"/>
</file>

<file path=xl/ctrlProps/ctrlProp268.xml><?xml version="1.0" encoding="utf-8"?>
<formControlPr xmlns="http://schemas.microsoft.com/office/spreadsheetml/2009/9/main" objectType="CheckBox" fmlaLink="$O$26" lockText="1" noThreeD="1"/>
</file>

<file path=xl/ctrlProps/ctrlProp269.xml><?xml version="1.0" encoding="utf-8"?>
<formControlPr xmlns="http://schemas.microsoft.com/office/spreadsheetml/2009/9/main" objectType="CheckBox" fmlaLink="$Q$19" lockText="1" noThreeD="1"/>
</file>

<file path=xl/ctrlProps/ctrlProp270.xml><?xml version="1.0" encoding="utf-8"?>
<formControlPr xmlns="http://schemas.microsoft.com/office/spreadsheetml/2009/9/main" objectType="CheckBox" fmlaLink="$Q$20" lockText="1" noThreeD="1"/>
</file>

<file path=xl/ctrlProps/ctrlProp271.xml><?xml version="1.0" encoding="utf-8"?>
<formControlPr xmlns="http://schemas.microsoft.com/office/spreadsheetml/2009/9/main" objectType="CheckBox" fmlaLink="$S$19" lockText="1" noThreeD="1"/>
</file>

<file path=xl/ctrlProps/ctrlProp272.xml><?xml version="1.0" encoding="utf-8"?>
<formControlPr xmlns="http://schemas.microsoft.com/office/spreadsheetml/2009/9/main" objectType="CheckBox" fmlaLink="$S$20" lockText="1" noThreeD="1"/>
</file>

<file path=xl/ctrlProps/ctrlProp273.xml><?xml version="1.0" encoding="utf-8"?>
<formControlPr xmlns="http://schemas.microsoft.com/office/spreadsheetml/2009/9/main" objectType="CheckBox" fmlaLink="$S$21" lockText="1" noThreeD="1"/>
</file>

<file path=xl/ctrlProps/ctrlProp274.xml><?xml version="1.0" encoding="utf-8"?>
<formControlPr xmlns="http://schemas.microsoft.com/office/spreadsheetml/2009/9/main" objectType="CheckBox" checked="Checked" fmlaLink="$S$22" lockText="1" noThreeD="1"/>
</file>

<file path=xl/ctrlProps/ctrlProp275.xml><?xml version="1.0" encoding="utf-8"?>
<formControlPr xmlns="http://schemas.microsoft.com/office/spreadsheetml/2009/9/main" objectType="CheckBox" fmlaLink="$M$34" lockText="1" noThreeD="1"/>
</file>

<file path=xl/ctrlProps/ctrlProp276.xml><?xml version="1.0" encoding="utf-8"?>
<formControlPr xmlns="http://schemas.microsoft.com/office/spreadsheetml/2009/9/main" objectType="CheckBox" fmlaLink="$M$35" lockText="1" noThreeD="1"/>
</file>

<file path=xl/ctrlProps/ctrlProp277.xml><?xml version="1.0" encoding="utf-8"?>
<formControlPr xmlns="http://schemas.microsoft.com/office/spreadsheetml/2009/9/main" objectType="CheckBox" fmlaLink="$M$28" lockText="1" noThreeD="1"/>
</file>

<file path=xl/ctrlProps/ctrlProp278.xml><?xml version="1.0" encoding="utf-8"?>
<formControlPr xmlns="http://schemas.microsoft.com/office/spreadsheetml/2009/9/main" objectType="CheckBox" checked="Checked" fmlaLink="$M$29" lockText="1" noThreeD="1"/>
</file>

<file path=xl/ctrlProps/ctrlProp279.xml><?xml version="1.0" encoding="utf-8"?>
<formControlPr xmlns="http://schemas.microsoft.com/office/spreadsheetml/2009/9/main" objectType="CheckBox" fmlaLink="$M$30" lockText="1" noThreeD="1"/>
</file>

<file path=xl/ctrlProps/ctrlProp280.xml><?xml version="1.0" encoding="utf-8"?>
<formControlPr xmlns="http://schemas.microsoft.com/office/spreadsheetml/2009/9/main" objectType="CheckBox" fmlaLink="$M$31" lockText="1" noThreeD="1"/>
</file>

<file path=xl/ctrlProps/ctrlProp281.xml><?xml version="1.0" encoding="utf-8"?>
<formControlPr xmlns="http://schemas.microsoft.com/office/spreadsheetml/2009/9/main" objectType="CheckBox" fmlaLink="$M$32" lockText="1" noThreeD="1"/>
</file>

<file path=xl/ctrlProps/ctrlProp282.xml><?xml version="1.0" encoding="utf-8"?>
<formControlPr xmlns="http://schemas.microsoft.com/office/spreadsheetml/2009/9/main" objectType="CheckBox" fmlaLink="$M$33" lockText="1" noThreeD="1"/>
</file>

<file path=xl/ctrlProps/ctrlProp283.xml><?xml version="1.0" encoding="utf-8"?>
<formControlPr xmlns="http://schemas.microsoft.com/office/spreadsheetml/2009/9/main" objectType="CheckBox" fmlaLink="$M$36" lockText="1" noThreeD="1"/>
</file>

<file path=xl/ctrlProps/ctrlProp284.xml><?xml version="1.0" encoding="utf-8"?>
<formControlPr xmlns="http://schemas.microsoft.com/office/spreadsheetml/2009/9/main" objectType="CheckBox" fmlaLink="$Q$21" lockText="1" noThreeD="1"/>
</file>

<file path=xl/ctrlProps/ctrlProp285.xml><?xml version="1.0" encoding="utf-8"?>
<formControlPr xmlns="http://schemas.microsoft.com/office/spreadsheetml/2009/9/main" objectType="CheckBox" checked="Checked" fmlaLink="$Q$22" lockText="1" noThreeD="1"/>
</file>

<file path=xl/ctrlProps/ctrlProp286.xml><?xml version="1.0" encoding="utf-8"?>
<formControlPr xmlns="http://schemas.microsoft.com/office/spreadsheetml/2009/9/main" objectType="CheckBox" fmlaLink="$M$25" lockText="1" noThreeD="1"/>
</file>

<file path=xl/ctrlProps/ctrlProp287.xml><?xml version="1.0" encoding="utf-8"?>
<formControlPr xmlns="http://schemas.microsoft.com/office/spreadsheetml/2009/9/main" objectType="CheckBox" fmlaLink="$M$26" lockText="1" noThreeD="1"/>
</file>

<file path=xl/ctrlProps/ctrlProp288.xml><?xml version="1.0" encoding="utf-8"?>
<formControlPr xmlns="http://schemas.microsoft.com/office/spreadsheetml/2009/9/main" objectType="CheckBox" fmlaLink="$M$19" lockText="1" noThreeD="1"/>
</file>

<file path=xl/ctrlProps/ctrlProp289.xml><?xml version="1.0" encoding="utf-8"?>
<formControlPr xmlns="http://schemas.microsoft.com/office/spreadsheetml/2009/9/main" objectType="CheckBox" fmlaLink="$M$20" lockText="1" noThreeD="1"/>
</file>

<file path=xl/ctrlProps/ctrlProp290.xml><?xml version="1.0" encoding="utf-8"?>
<formControlPr xmlns="http://schemas.microsoft.com/office/spreadsheetml/2009/9/main" objectType="CheckBox" fmlaLink="$M$21" lockText="1" noThreeD="1"/>
</file>

<file path=xl/ctrlProps/ctrlProp291.xml><?xml version="1.0" encoding="utf-8"?>
<formControlPr xmlns="http://schemas.microsoft.com/office/spreadsheetml/2009/9/main" objectType="CheckBox" fmlaLink="$M$22" lockText="1" noThreeD="1"/>
</file>

<file path=xl/ctrlProps/ctrlProp292.xml><?xml version="1.0" encoding="utf-8"?>
<formControlPr xmlns="http://schemas.microsoft.com/office/spreadsheetml/2009/9/main" objectType="CheckBox" fmlaLink="$M$23" lockText="1" noThreeD="1"/>
</file>

<file path=xl/ctrlProps/ctrlProp293.xml><?xml version="1.0" encoding="utf-8"?>
<formControlPr xmlns="http://schemas.microsoft.com/office/spreadsheetml/2009/9/main" objectType="CheckBox" fmlaLink="$M$24" lockText="1" noThreeD="1"/>
</file>

<file path=xl/ctrlProps/ctrlProp294.xml><?xml version="1.0" encoding="utf-8"?>
<formControlPr xmlns="http://schemas.microsoft.com/office/spreadsheetml/2009/9/main" objectType="CheckBox" fmlaLink="$M$27" lockText="1" noThreeD="1"/>
</file>

<file path=xl/ctrlProps/ctrlProp295.xml><?xml version="1.0" encoding="utf-8"?>
<formControlPr xmlns="http://schemas.microsoft.com/office/spreadsheetml/2009/9/main" objectType="CheckBox" fmlaLink="$K$34" lockText="1" noThreeD="1"/>
</file>

<file path=xl/ctrlProps/ctrlProp296.xml><?xml version="1.0" encoding="utf-8"?>
<formControlPr xmlns="http://schemas.microsoft.com/office/spreadsheetml/2009/9/main" objectType="CheckBox" fmlaLink="$K$35" lockText="1" noThreeD="1"/>
</file>

<file path=xl/ctrlProps/ctrlProp297.xml><?xml version="1.0" encoding="utf-8"?>
<formControlPr xmlns="http://schemas.microsoft.com/office/spreadsheetml/2009/9/main" objectType="CheckBox" fmlaLink="$K$28" lockText="1" noThreeD="1"/>
</file>

<file path=xl/ctrlProps/ctrlProp298.xml><?xml version="1.0" encoding="utf-8"?>
<formControlPr xmlns="http://schemas.microsoft.com/office/spreadsheetml/2009/9/main" objectType="CheckBox" fmlaLink="$K$29" lockText="1" noThreeD="1"/>
</file>

<file path=xl/ctrlProps/ctrlProp299.xml><?xml version="1.0" encoding="utf-8"?>
<formControlPr xmlns="http://schemas.microsoft.com/office/spreadsheetml/2009/9/main" objectType="CheckBox" fmlaLink="$K$30" lockText="1" noThreeD="1"/>
</file>

<file path=xl/ctrlProps/ctrlProp300.xml><?xml version="1.0" encoding="utf-8"?>
<formControlPr xmlns="http://schemas.microsoft.com/office/spreadsheetml/2009/9/main" objectType="CheckBox" checked="Checked" fmlaLink="$K$31" lockText="1" noThreeD="1"/>
</file>

<file path=xl/ctrlProps/ctrlProp301.xml><?xml version="1.0" encoding="utf-8"?>
<formControlPr xmlns="http://schemas.microsoft.com/office/spreadsheetml/2009/9/main" objectType="CheckBox" fmlaLink="$K$32" lockText="1" noThreeD="1"/>
</file>

<file path=xl/ctrlProps/ctrlProp302.xml><?xml version="1.0" encoding="utf-8"?>
<formControlPr xmlns="http://schemas.microsoft.com/office/spreadsheetml/2009/9/main" objectType="CheckBox" fmlaLink="$K$33" lockText="1" noThreeD="1"/>
</file>

<file path=xl/ctrlProps/ctrlProp303.xml><?xml version="1.0" encoding="utf-8"?>
<formControlPr xmlns="http://schemas.microsoft.com/office/spreadsheetml/2009/9/main" objectType="CheckBox" fmlaLink="$K$36" lockText="1" noThreeD="1"/>
</file>

<file path=xl/ctrlProps/ctrlProp304.xml><?xml version="1.0" encoding="utf-8"?>
<formControlPr xmlns="http://schemas.microsoft.com/office/spreadsheetml/2009/9/main" objectType="CheckBox" fmlaLink="$K$25" lockText="1" noThreeD="1"/>
</file>

<file path=xl/ctrlProps/ctrlProp305.xml><?xml version="1.0" encoding="utf-8"?>
<formControlPr xmlns="http://schemas.microsoft.com/office/spreadsheetml/2009/9/main" objectType="CheckBox" fmlaLink="$K$26" lockText="1" noThreeD="1"/>
</file>

<file path=xl/ctrlProps/ctrlProp306.xml><?xml version="1.0" encoding="utf-8"?>
<formControlPr xmlns="http://schemas.microsoft.com/office/spreadsheetml/2009/9/main" objectType="CheckBox" fmlaLink="$K$19" lockText="1" noThreeD="1"/>
</file>

<file path=xl/ctrlProps/ctrlProp307.xml><?xml version="1.0" encoding="utf-8"?>
<formControlPr xmlns="http://schemas.microsoft.com/office/spreadsheetml/2009/9/main" objectType="CheckBox" fmlaLink="$K$20" lockText="1" noThreeD="1"/>
</file>

<file path=xl/ctrlProps/ctrlProp308.xml><?xml version="1.0" encoding="utf-8"?>
<formControlPr xmlns="http://schemas.microsoft.com/office/spreadsheetml/2009/9/main" objectType="CheckBox" fmlaLink="$K$21" lockText="1" noThreeD="1"/>
</file>

<file path=xl/ctrlProps/ctrlProp309.xml><?xml version="1.0" encoding="utf-8"?>
<formControlPr xmlns="http://schemas.microsoft.com/office/spreadsheetml/2009/9/main" objectType="CheckBox" fmlaLink="$K$22" lockText="1" noThreeD="1"/>
</file>

<file path=xl/ctrlProps/ctrlProp310.xml><?xml version="1.0" encoding="utf-8"?>
<formControlPr xmlns="http://schemas.microsoft.com/office/spreadsheetml/2009/9/main" objectType="CheckBox" fmlaLink="$K$23" lockText="1" noThreeD="1"/>
</file>

<file path=xl/ctrlProps/ctrlProp311.xml><?xml version="1.0" encoding="utf-8"?>
<formControlPr xmlns="http://schemas.microsoft.com/office/spreadsheetml/2009/9/main" objectType="CheckBox" fmlaLink="$K$24" lockText="1" noThreeD="1"/>
</file>

<file path=xl/ctrlProps/ctrlProp312.xml><?xml version="1.0" encoding="utf-8"?>
<formControlPr xmlns="http://schemas.microsoft.com/office/spreadsheetml/2009/9/main" objectType="CheckBox" fmlaLink="$K$27" lockText="1" noThreeD="1"/>
</file>

<file path=xl/ctrlProps/ctrlProp313.xml><?xml version="1.0" encoding="utf-8"?>
<formControlPr xmlns="http://schemas.microsoft.com/office/spreadsheetml/2009/9/main" objectType="CheckBox" fmlaLink="$O$19" lockText="1" noThreeD="1"/>
</file>

<file path=xl/ctrlProps/ctrlProp314.xml><?xml version="1.0" encoding="utf-8"?>
<formControlPr xmlns="http://schemas.microsoft.com/office/spreadsheetml/2009/9/main" objectType="CheckBox" fmlaLink="$O$21" lockText="1" noThreeD="1"/>
</file>

<file path=xl/ctrlProps/ctrlProp315.xml><?xml version="1.0" encoding="utf-8"?>
<formControlPr xmlns="http://schemas.microsoft.com/office/spreadsheetml/2009/9/main" objectType="CheckBox" fmlaLink="$O$22" lockText="1" noThreeD="1"/>
</file>

<file path=xl/ctrlProps/ctrlProp316.xml><?xml version="1.0" encoding="utf-8"?>
<formControlPr xmlns="http://schemas.microsoft.com/office/spreadsheetml/2009/9/main" objectType="CheckBox" fmlaLink="$O$23" lockText="1" noThreeD="1"/>
</file>

<file path=xl/ctrlProps/ctrlProp317.xml><?xml version="1.0" encoding="utf-8"?>
<formControlPr xmlns="http://schemas.microsoft.com/office/spreadsheetml/2009/9/main" objectType="CheckBox" fmlaLink="$O$24" lockText="1" noThreeD="1"/>
</file>

<file path=xl/ctrlProps/ctrlProp318.xml><?xml version="1.0" encoding="utf-8"?>
<formControlPr xmlns="http://schemas.microsoft.com/office/spreadsheetml/2009/9/main" objectType="CheckBox" fmlaLink="$O$25" lockText="1" noThreeD="1"/>
</file>

<file path=xl/ctrlProps/ctrlProp319.xml><?xml version="1.0" encoding="utf-8"?>
<formControlPr xmlns="http://schemas.microsoft.com/office/spreadsheetml/2009/9/main" objectType="CheckBox" fmlaLink="$O$20" lockText="1" noThreeD="1"/>
</file>

<file path=xl/ctrlProps/ctrlProp320.xml><?xml version="1.0" encoding="utf-8"?>
<formControlPr xmlns="http://schemas.microsoft.com/office/spreadsheetml/2009/9/main" objectType="CheckBox" checked="Checked" fmlaLink="$O$26" lockText="1" noThreeD="1"/>
</file>

<file path=xl/ctrlProps/ctrlProp321.xml><?xml version="1.0" encoding="utf-8"?>
<formControlPr xmlns="http://schemas.microsoft.com/office/spreadsheetml/2009/9/main" objectType="CheckBox" fmlaLink="$Q$19" lockText="1" noThreeD="1"/>
</file>

<file path=xl/ctrlProps/ctrlProp322.xml><?xml version="1.0" encoding="utf-8"?>
<formControlPr xmlns="http://schemas.microsoft.com/office/spreadsheetml/2009/9/main" objectType="CheckBox" checked="Checked" fmlaLink="$Q$20" lockText="1" noThreeD="1"/>
</file>

<file path=xl/ctrlProps/ctrlProp323.xml><?xml version="1.0" encoding="utf-8"?>
<formControlPr xmlns="http://schemas.microsoft.com/office/spreadsheetml/2009/9/main" objectType="CheckBox" checked="Checked" fmlaLink="$S$19" lockText="1" noThreeD="1"/>
</file>

<file path=xl/ctrlProps/ctrlProp324.xml><?xml version="1.0" encoding="utf-8"?>
<formControlPr xmlns="http://schemas.microsoft.com/office/spreadsheetml/2009/9/main" objectType="CheckBox" fmlaLink="$S$20" lockText="1" noThreeD="1"/>
</file>

<file path=xl/ctrlProps/ctrlProp325.xml><?xml version="1.0" encoding="utf-8"?>
<formControlPr xmlns="http://schemas.microsoft.com/office/spreadsheetml/2009/9/main" objectType="CheckBox" fmlaLink="$S$21" lockText="1" noThreeD="1"/>
</file>

<file path=xl/ctrlProps/ctrlProp326.xml><?xml version="1.0" encoding="utf-8"?>
<formControlPr xmlns="http://schemas.microsoft.com/office/spreadsheetml/2009/9/main" objectType="CheckBox" fmlaLink="$S$22" lockText="1" noThreeD="1"/>
</file>

<file path=xl/ctrlProps/ctrlProp327.xml><?xml version="1.0" encoding="utf-8"?>
<formControlPr xmlns="http://schemas.microsoft.com/office/spreadsheetml/2009/9/main" objectType="CheckBox" fmlaLink="$M$34" lockText="1" noThreeD="1"/>
</file>

<file path=xl/ctrlProps/ctrlProp328.xml><?xml version="1.0" encoding="utf-8"?>
<formControlPr xmlns="http://schemas.microsoft.com/office/spreadsheetml/2009/9/main" objectType="CheckBox" fmlaLink="$M$35" lockText="1" noThreeD="1"/>
</file>

<file path=xl/ctrlProps/ctrlProp329.xml><?xml version="1.0" encoding="utf-8"?>
<formControlPr xmlns="http://schemas.microsoft.com/office/spreadsheetml/2009/9/main" objectType="CheckBox" fmlaLink="$M$28" lockText="1" noThreeD="1"/>
</file>

<file path=xl/ctrlProps/ctrlProp330.xml><?xml version="1.0" encoding="utf-8"?>
<formControlPr xmlns="http://schemas.microsoft.com/office/spreadsheetml/2009/9/main" objectType="CheckBox" fmlaLink="$M$29" lockText="1" noThreeD="1"/>
</file>

<file path=xl/ctrlProps/ctrlProp331.xml><?xml version="1.0" encoding="utf-8"?>
<formControlPr xmlns="http://schemas.microsoft.com/office/spreadsheetml/2009/9/main" objectType="CheckBox" fmlaLink="$M$30" lockText="1" noThreeD="1"/>
</file>

<file path=xl/ctrlProps/ctrlProp332.xml><?xml version="1.0" encoding="utf-8"?>
<formControlPr xmlns="http://schemas.microsoft.com/office/spreadsheetml/2009/9/main" objectType="CheckBox" fmlaLink="$M$31" lockText="1" noThreeD="1"/>
</file>

<file path=xl/ctrlProps/ctrlProp333.xml><?xml version="1.0" encoding="utf-8"?>
<formControlPr xmlns="http://schemas.microsoft.com/office/spreadsheetml/2009/9/main" objectType="CheckBox" fmlaLink="$M$32" lockText="1" noThreeD="1"/>
</file>

<file path=xl/ctrlProps/ctrlProp334.xml><?xml version="1.0" encoding="utf-8"?>
<formControlPr xmlns="http://schemas.microsoft.com/office/spreadsheetml/2009/9/main" objectType="CheckBox" fmlaLink="$M$33" lockText="1" noThreeD="1"/>
</file>

<file path=xl/ctrlProps/ctrlProp335.xml><?xml version="1.0" encoding="utf-8"?>
<formControlPr xmlns="http://schemas.microsoft.com/office/spreadsheetml/2009/9/main" objectType="CheckBox" fmlaLink="$M$36" lockText="1" noThreeD="1"/>
</file>

<file path=xl/ctrlProps/ctrlProp336.xml><?xml version="1.0" encoding="utf-8"?>
<formControlPr xmlns="http://schemas.microsoft.com/office/spreadsheetml/2009/9/main" objectType="CheckBox" fmlaLink="$Q$21" lockText="1" noThreeD="1"/>
</file>

<file path=xl/ctrlProps/ctrlProp337.xml><?xml version="1.0" encoding="utf-8"?>
<formControlPr xmlns="http://schemas.microsoft.com/office/spreadsheetml/2009/9/main" objectType="CheckBox" fmlaLink="$Q$22" lockText="1" noThreeD="1"/>
</file>

<file path=xl/ctrlProps/ctrlProp338.xml><?xml version="1.0" encoding="utf-8"?>
<formControlPr xmlns="http://schemas.microsoft.com/office/spreadsheetml/2009/9/main" objectType="CheckBox" fmlaLink="$M$25" lockText="1" noThreeD="1"/>
</file>

<file path=xl/ctrlProps/ctrlProp339.xml><?xml version="1.0" encoding="utf-8"?>
<formControlPr xmlns="http://schemas.microsoft.com/office/spreadsheetml/2009/9/main" objectType="CheckBox" fmlaLink="$M$26" lockText="1" noThreeD="1"/>
</file>

<file path=xl/ctrlProps/ctrlProp340.xml><?xml version="1.0" encoding="utf-8"?>
<formControlPr xmlns="http://schemas.microsoft.com/office/spreadsheetml/2009/9/main" objectType="CheckBox" fmlaLink="$M$19" lockText="1" noThreeD="1"/>
</file>

<file path=xl/ctrlProps/ctrlProp341.xml><?xml version="1.0" encoding="utf-8"?>
<formControlPr xmlns="http://schemas.microsoft.com/office/spreadsheetml/2009/9/main" objectType="CheckBox" checked="Checked" fmlaLink="$M$20" lockText="1" noThreeD="1"/>
</file>

<file path=xl/ctrlProps/ctrlProp342.xml><?xml version="1.0" encoding="utf-8"?>
<formControlPr xmlns="http://schemas.microsoft.com/office/spreadsheetml/2009/9/main" objectType="CheckBox" fmlaLink="$M$21" lockText="1" noThreeD="1"/>
</file>

<file path=xl/ctrlProps/ctrlProp343.xml><?xml version="1.0" encoding="utf-8"?>
<formControlPr xmlns="http://schemas.microsoft.com/office/spreadsheetml/2009/9/main" objectType="CheckBox" fmlaLink="$M$22" lockText="1" noThreeD="1"/>
</file>

<file path=xl/ctrlProps/ctrlProp344.xml><?xml version="1.0" encoding="utf-8"?>
<formControlPr xmlns="http://schemas.microsoft.com/office/spreadsheetml/2009/9/main" objectType="CheckBox" fmlaLink="$M$23" lockText="1" noThreeD="1"/>
</file>

<file path=xl/ctrlProps/ctrlProp345.xml><?xml version="1.0" encoding="utf-8"?>
<formControlPr xmlns="http://schemas.microsoft.com/office/spreadsheetml/2009/9/main" objectType="CheckBox" fmlaLink="$M$24" lockText="1" noThreeD="1"/>
</file>

<file path=xl/ctrlProps/ctrlProp346.xml><?xml version="1.0" encoding="utf-8"?>
<formControlPr xmlns="http://schemas.microsoft.com/office/spreadsheetml/2009/9/main" objectType="CheckBox" fmlaLink="$M$27" lockText="1" noThreeD="1"/>
</file>

<file path=xl/ctrlProps/ctrlProp347.xml><?xml version="1.0" encoding="utf-8"?>
<formControlPr xmlns="http://schemas.microsoft.com/office/spreadsheetml/2009/9/main" objectType="CheckBox" fmlaLink="$K$34" lockText="1" noThreeD="1"/>
</file>

<file path=xl/ctrlProps/ctrlProp348.xml><?xml version="1.0" encoding="utf-8"?>
<formControlPr xmlns="http://schemas.microsoft.com/office/spreadsheetml/2009/9/main" objectType="CheckBox" fmlaLink="$K$35" lockText="1" noThreeD="1"/>
</file>

<file path=xl/ctrlProps/ctrlProp349.xml><?xml version="1.0" encoding="utf-8"?>
<formControlPr xmlns="http://schemas.microsoft.com/office/spreadsheetml/2009/9/main" objectType="CheckBox" fmlaLink="$K$28" lockText="1" noThreeD="1"/>
</file>

<file path=xl/ctrlProps/ctrlProp350.xml><?xml version="1.0" encoding="utf-8"?>
<formControlPr xmlns="http://schemas.microsoft.com/office/spreadsheetml/2009/9/main" objectType="CheckBox" fmlaLink="$K$29" lockText="1" noThreeD="1"/>
</file>

<file path=xl/ctrlProps/ctrlProp351.xml><?xml version="1.0" encoding="utf-8"?>
<formControlPr xmlns="http://schemas.microsoft.com/office/spreadsheetml/2009/9/main" objectType="CheckBox" fmlaLink="$K$30" lockText="1" noThreeD="1"/>
</file>

<file path=xl/ctrlProps/ctrlProp352.xml><?xml version="1.0" encoding="utf-8"?>
<formControlPr xmlns="http://schemas.microsoft.com/office/spreadsheetml/2009/9/main" objectType="CheckBox" fmlaLink="$K$31" lockText="1" noThreeD="1"/>
</file>

<file path=xl/ctrlProps/ctrlProp353.xml><?xml version="1.0" encoding="utf-8"?>
<formControlPr xmlns="http://schemas.microsoft.com/office/spreadsheetml/2009/9/main" objectType="CheckBox" fmlaLink="$K$32" lockText="1" noThreeD="1"/>
</file>

<file path=xl/ctrlProps/ctrlProp354.xml><?xml version="1.0" encoding="utf-8"?>
<formControlPr xmlns="http://schemas.microsoft.com/office/spreadsheetml/2009/9/main" objectType="CheckBox" fmlaLink="$K$33" lockText="1" noThreeD="1"/>
</file>

<file path=xl/ctrlProps/ctrlProp355.xml><?xml version="1.0" encoding="utf-8"?>
<formControlPr xmlns="http://schemas.microsoft.com/office/spreadsheetml/2009/9/main" objectType="CheckBox" fmlaLink="$K$36" lockText="1" noThreeD="1"/>
</file>

<file path=xl/ctrlProps/ctrlProp356.xml><?xml version="1.0" encoding="utf-8"?>
<formControlPr xmlns="http://schemas.microsoft.com/office/spreadsheetml/2009/9/main" objectType="CheckBox" fmlaLink="$K$25" lockText="1" noThreeD="1"/>
</file>

<file path=xl/ctrlProps/ctrlProp357.xml><?xml version="1.0" encoding="utf-8"?>
<formControlPr xmlns="http://schemas.microsoft.com/office/spreadsheetml/2009/9/main" objectType="CheckBox" fmlaLink="$K$26" lockText="1" noThreeD="1"/>
</file>

<file path=xl/ctrlProps/ctrlProp358.xml><?xml version="1.0" encoding="utf-8"?>
<formControlPr xmlns="http://schemas.microsoft.com/office/spreadsheetml/2009/9/main" objectType="CheckBox" fmlaLink="$K$19" lockText="1" noThreeD="1"/>
</file>

<file path=xl/ctrlProps/ctrlProp359.xml><?xml version="1.0" encoding="utf-8"?>
<formControlPr xmlns="http://schemas.microsoft.com/office/spreadsheetml/2009/9/main" objectType="CheckBox" fmlaLink="$K$20" lockText="1" noThreeD="1"/>
</file>

<file path=xl/ctrlProps/ctrlProp360.xml><?xml version="1.0" encoding="utf-8"?>
<formControlPr xmlns="http://schemas.microsoft.com/office/spreadsheetml/2009/9/main" objectType="CheckBox" checked="Checked" fmlaLink="$K$21" lockText="1" noThreeD="1"/>
</file>

<file path=xl/ctrlProps/ctrlProp361.xml><?xml version="1.0" encoding="utf-8"?>
<formControlPr xmlns="http://schemas.microsoft.com/office/spreadsheetml/2009/9/main" objectType="CheckBox" fmlaLink="$K$22" lockText="1" noThreeD="1"/>
</file>

<file path=xl/ctrlProps/ctrlProp362.xml><?xml version="1.0" encoding="utf-8"?>
<formControlPr xmlns="http://schemas.microsoft.com/office/spreadsheetml/2009/9/main" objectType="CheckBox" fmlaLink="$K$23" lockText="1" noThreeD="1"/>
</file>

<file path=xl/ctrlProps/ctrlProp363.xml><?xml version="1.0" encoding="utf-8"?>
<formControlPr xmlns="http://schemas.microsoft.com/office/spreadsheetml/2009/9/main" objectType="CheckBox" fmlaLink="$K$24" lockText="1" noThreeD="1"/>
</file>

<file path=xl/ctrlProps/ctrlProp364.xml><?xml version="1.0" encoding="utf-8"?>
<formControlPr xmlns="http://schemas.microsoft.com/office/spreadsheetml/2009/9/main" objectType="CheckBox" fmlaLink="$K$27" lockText="1" noThreeD="1"/>
</file>

<file path=xl/ctrlProps/ctrlProp365.xml><?xml version="1.0" encoding="utf-8"?>
<formControlPr xmlns="http://schemas.microsoft.com/office/spreadsheetml/2009/9/main" objectType="CheckBox" fmlaLink="$O$19" lockText="1" noThreeD="1"/>
</file>

<file path=xl/ctrlProps/ctrlProp366.xml><?xml version="1.0" encoding="utf-8"?>
<formControlPr xmlns="http://schemas.microsoft.com/office/spreadsheetml/2009/9/main" objectType="CheckBox" fmlaLink="$O$21" lockText="1" noThreeD="1"/>
</file>

<file path=xl/ctrlProps/ctrlProp367.xml><?xml version="1.0" encoding="utf-8"?>
<formControlPr xmlns="http://schemas.microsoft.com/office/spreadsheetml/2009/9/main" objectType="CheckBox" fmlaLink="$O$22" lockText="1" noThreeD="1"/>
</file>

<file path=xl/ctrlProps/ctrlProp368.xml><?xml version="1.0" encoding="utf-8"?>
<formControlPr xmlns="http://schemas.microsoft.com/office/spreadsheetml/2009/9/main" objectType="CheckBox" checked="Checked" fmlaLink="$O$23" lockText="1" noThreeD="1"/>
</file>

<file path=xl/ctrlProps/ctrlProp369.xml><?xml version="1.0" encoding="utf-8"?>
<formControlPr xmlns="http://schemas.microsoft.com/office/spreadsheetml/2009/9/main" objectType="CheckBox" fmlaLink="$O$24" lockText="1" noThreeD="1"/>
</file>

<file path=xl/ctrlProps/ctrlProp370.xml><?xml version="1.0" encoding="utf-8"?>
<formControlPr xmlns="http://schemas.microsoft.com/office/spreadsheetml/2009/9/main" objectType="CheckBox" fmlaLink="$O$25" lockText="1" noThreeD="1"/>
</file>

<file path=xl/ctrlProps/ctrlProp371.xml><?xml version="1.0" encoding="utf-8"?>
<formControlPr xmlns="http://schemas.microsoft.com/office/spreadsheetml/2009/9/main" objectType="CheckBox" fmlaLink="$O$20" lockText="1" noThreeD="1"/>
</file>

<file path=xl/ctrlProps/ctrlProp372.xml><?xml version="1.0" encoding="utf-8"?>
<formControlPr xmlns="http://schemas.microsoft.com/office/spreadsheetml/2009/9/main" objectType="CheckBox" fmlaLink="$O$26" lockText="1" noThreeD="1"/>
</file>

<file path=xl/ctrlProps/ctrlProp373.xml><?xml version="1.0" encoding="utf-8"?>
<formControlPr xmlns="http://schemas.microsoft.com/office/spreadsheetml/2009/9/main" objectType="CheckBox" fmlaLink="$Q$19" lockText="1" noThreeD="1"/>
</file>

<file path=xl/ctrlProps/ctrlProp374.xml><?xml version="1.0" encoding="utf-8"?>
<formControlPr xmlns="http://schemas.microsoft.com/office/spreadsheetml/2009/9/main" objectType="CheckBox" fmlaLink="$Q$20" lockText="1" noThreeD="1"/>
</file>

<file path=xl/ctrlProps/ctrlProp375.xml><?xml version="1.0" encoding="utf-8"?>
<formControlPr xmlns="http://schemas.microsoft.com/office/spreadsheetml/2009/9/main" objectType="CheckBox" checked="Checked" fmlaLink="$S$19" lockText="1" noThreeD="1"/>
</file>

<file path=xl/ctrlProps/ctrlProp376.xml><?xml version="1.0" encoding="utf-8"?>
<formControlPr xmlns="http://schemas.microsoft.com/office/spreadsheetml/2009/9/main" objectType="CheckBox" fmlaLink="$S$20" lockText="1" noThreeD="1"/>
</file>

<file path=xl/ctrlProps/ctrlProp377.xml><?xml version="1.0" encoding="utf-8"?>
<formControlPr xmlns="http://schemas.microsoft.com/office/spreadsheetml/2009/9/main" objectType="CheckBox" fmlaLink="$S$21" lockText="1" noThreeD="1"/>
</file>

<file path=xl/ctrlProps/ctrlProp378.xml><?xml version="1.0" encoding="utf-8"?>
<formControlPr xmlns="http://schemas.microsoft.com/office/spreadsheetml/2009/9/main" objectType="CheckBox" fmlaLink="$S$22" lockText="1" noThreeD="1"/>
</file>

<file path=xl/ctrlProps/ctrlProp379.xml><?xml version="1.0" encoding="utf-8"?>
<formControlPr xmlns="http://schemas.microsoft.com/office/spreadsheetml/2009/9/main" objectType="CheckBox" fmlaLink="$M$34" lockText="1" noThreeD="1"/>
</file>

<file path=xl/ctrlProps/ctrlProp380.xml><?xml version="1.0" encoding="utf-8"?>
<formControlPr xmlns="http://schemas.microsoft.com/office/spreadsheetml/2009/9/main" objectType="CheckBox" fmlaLink="$M$35" lockText="1" noThreeD="1"/>
</file>

<file path=xl/ctrlProps/ctrlProp381.xml><?xml version="1.0" encoding="utf-8"?>
<formControlPr xmlns="http://schemas.microsoft.com/office/spreadsheetml/2009/9/main" objectType="CheckBox" fmlaLink="$M$28" lockText="1" noThreeD="1"/>
</file>

<file path=xl/ctrlProps/ctrlProp382.xml><?xml version="1.0" encoding="utf-8"?>
<formControlPr xmlns="http://schemas.microsoft.com/office/spreadsheetml/2009/9/main" objectType="CheckBox" fmlaLink="$M$29" lockText="1" noThreeD="1"/>
</file>

<file path=xl/ctrlProps/ctrlProp383.xml><?xml version="1.0" encoding="utf-8"?>
<formControlPr xmlns="http://schemas.microsoft.com/office/spreadsheetml/2009/9/main" objectType="CheckBox" checked="Checked" fmlaLink="$M$30" lockText="1" noThreeD="1"/>
</file>

<file path=xl/ctrlProps/ctrlProp384.xml><?xml version="1.0" encoding="utf-8"?>
<formControlPr xmlns="http://schemas.microsoft.com/office/spreadsheetml/2009/9/main" objectType="CheckBox" fmlaLink="$M$31" lockText="1" noThreeD="1"/>
</file>

<file path=xl/ctrlProps/ctrlProp385.xml><?xml version="1.0" encoding="utf-8"?>
<formControlPr xmlns="http://schemas.microsoft.com/office/spreadsheetml/2009/9/main" objectType="CheckBox" fmlaLink="$M$32" lockText="1" noThreeD="1"/>
</file>

<file path=xl/ctrlProps/ctrlProp386.xml><?xml version="1.0" encoding="utf-8"?>
<formControlPr xmlns="http://schemas.microsoft.com/office/spreadsheetml/2009/9/main" objectType="CheckBox" fmlaLink="$M$33" lockText="1" noThreeD="1"/>
</file>

<file path=xl/ctrlProps/ctrlProp387.xml><?xml version="1.0" encoding="utf-8"?>
<formControlPr xmlns="http://schemas.microsoft.com/office/spreadsheetml/2009/9/main" objectType="CheckBox" fmlaLink="$M$36" lockText="1" noThreeD="1"/>
</file>

<file path=xl/ctrlProps/ctrlProp388.xml><?xml version="1.0" encoding="utf-8"?>
<formControlPr xmlns="http://schemas.microsoft.com/office/spreadsheetml/2009/9/main" objectType="CheckBox" fmlaLink="$Q$21" lockText="1" noThreeD="1"/>
</file>

<file path=xl/ctrlProps/ctrlProp389.xml><?xml version="1.0" encoding="utf-8"?>
<formControlPr xmlns="http://schemas.microsoft.com/office/spreadsheetml/2009/9/main" objectType="CheckBox" checked="Checked" fmlaLink="$Q$22" lockText="1" noThreeD="1"/>
</file>

<file path=xl/ctrlProps/ctrlProp390.xml><?xml version="1.0" encoding="utf-8"?>
<formControlPr xmlns="http://schemas.microsoft.com/office/spreadsheetml/2009/9/main" objectType="CheckBox" fmlaLink="$M$25" lockText="1" noThreeD="1"/>
</file>

<file path=xl/ctrlProps/ctrlProp391.xml><?xml version="1.0" encoding="utf-8"?>
<formControlPr xmlns="http://schemas.microsoft.com/office/spreadsheetml/2009/9/main" objectType="CheckBox" fmlaLink="$M$26" lockText="1" noThreeD="1"/>
</file>

<file path=xl/ctrlProps/ctrlProp392.xml><?xml version="1.0" encoding="utf-8"?>
<formControlPr xmlns="http://schemas.microsoft.com/office/spreadsheetml/2009/9/main" objectType="CheckBox" fmlaLink="$M$19" lockText="1" noThreeD="1"/>
</file>

<file path=xl/ctrlProps/ctrlProp393.xml><?xml version="1.0" encoding="utf-8"?>
<formControlPr xmlns="http://schemas.microsoft.com/office/spreadsheetml/2009/9/main" objectType="CheckBox" fmlaLink="$M$20" lockText="1" noThreeD="1"/>
</file>

<file path=xl/ctrlProps/ctrlProp394.xml><?xml version="1.0" encoding="utf-8"?>
<formControlPr xmlns="http://schemas.microsoft.com/office/spreadsheetml/2009/9/main" objectType="CheckBox" fmlaLink="$M$21" lockText="1" noThreeD="1"/>
</file>

<file path=xl/ctrlProps/ctrlProp395.xml><?xml version="1.0" encoding="utf-8"?>
<formControlPr xmlns="http://schemas.microsoft.com/office/spreadsheetml/2009/9/main" objectType="CheckBox" fmlaLink="$M$22" lockText="1" noThreeD="1"/>
</file>

<file path=xl/ctrlProps/ctrlProp396.xml><?xml version="1.0" encoding="utf-8"?>
<formControlPr xmlns="http://schemas.microsoft.com/office/spreadsheetml/2009/9/main" objectType="CheckBox" fmlaLink="$M$23" lockText="1" noThreeD="1"/>
</file>

<file path=xl/ctrlProps/ctrlProp397.xml><?xml version="1.0" encoding="utf-8"?>
<formControlPr xmlns="http://schemas.microsoft.com/office/spreadsheetml/2009/9/main" objectType="CheckBox" fmlaLink="$M$24" lockText="1" noThreeD="1"/>
</file>

<file path=xl/ctrlProps/ctrlProp398.xml><?xml version="1.0" encoding="utf-8"?>
<formControlPr xmlns="http://schemas.microsoft.com/office/spreadsheetml/2009/9/main" objectType="CheckBox" fmlaLink="$M$27" lockText="1" noThreeD="1"/>
</file>

<file path=xl/ctrlProps/ctrlProp399.xml><?xml version="1.0" encoding="utf-8"?>
<formControlPr xmlns="http://schemas.microsoft.com/office/spreadsheetml/2009/9/main" objectType="CheckBox" fmlaLink="$K$34" lockText="1" noThreeD="1"/>
</file>

<file path=xl/ctrlProps/ctrlProp400.xml><?xml version="1.0" encoding="utf-8"?>
<formControlPr xmlns="http://schemas.microsoft.com/office/spreadsheetml/2009/9/main" objectType="CheckBox" fmlaLink="$K$35" lockText="1" noThreeD="1"/>
</file>

<file path=xl/ctrlProps/ctrlProp401.xml><?xml version="1.0" encoding="utf-8"?>
<formControlPr xmlns="http://schemas.microsoft.com/office/spreadsheetml/2009/9/main" objectType="CheckBox" fmlaLink="$K$28" lockText="1" noThreeD="1"/>
</file>

<file path=xl/ctrlProps/ctrlProp402.xml><?xml version="1.0" encoding="utf-8"?>
<formControlPr xmlns="http://schemas.microsoft.com/office/spreadsheetml/2009/9/main" objectType="CheckBox" fmlaLink="$K$29" lockText="1" noThreeD="1"/>
</file>

<file path=xl/ctrlProps/ctrlProp403.xml><?xml version="1.0" encoding="utf-8"?>
<formControlPr xmlns="http://schemas.microsoft.com/office/spreadsheetml/2009/9/main" objectType="CheckBox" fmlaLink="$K$30" lockText="1" noThreeD="1"/>
</file>

<file path=xl/ctrlProps/ctrlProp404.xml><?xml version="1.0" encoding="utf-8"?>
<formControlPr xmlns="http://schemas.microsoft.com/office/spreadsheetml/2009/9/main" objectType="CheckBox" fmlaLink="$K$31" lockText="1" noThreeD="1"/>
</file>

<file path=xl/ctrlProps/ctrlProp405.xml><?xml version="1.0" encoding="utf-8"?>
<formControlPr xmlns="http://schemas.microsoft.com/office/spreadsheetml/2009/9/main" objectType="CheckBox" fmlaLink="$K$32" lockText="1" noThreeD="1"/>
</file>

<file path=xl/ctrlProps/ctrlProp406.xml><?xml version="1.0" encoding="utf-8"?>
<formControlPr xmlns="http://schemas.microsoft.com/office/spreadsheetml/2009/9/main" objectType="CheckBox" fmlaLink="$K$33" lockText="1" noThreeD="1"/>
</file>

<file path=xl/ctrlProps/ctrlProp407.xml><?xml version="1.0" encoding="utf-8"?>
<formControlPr xmlns="http://schemas.microsoft.com/office/spreadsheetml/2009/9/main" objectType="CheckBox" fmlaLink="$K$36" lockText="1" noThreeD="1"/>
</file>

<file path=xl/ctrlProps/ctrlProp408.xml><?xml version="1.0" encoding="utf-8"?>
<formControlPr xmlns="http://schemas.microsoft.com/office/spreadsheetml/2009/9/main" objectType="CheckBox" fmlaLink="$K$25" lockText="1" noThreeD="1"/>
</file>

<file path=xl/ctrlProps/ctrlProp409.xml><?xml version="1.0" encoding="utf-8"?>
<formControlPr xmlns="http://schemas.microsoft.com/office/spreadsheetml/2009/9/main" objectType="CheckBox" fmlaLink="$K$26" lockText="1" noThreeD="1"/>
</file>

<file path=xl/ctrlProps/ctrlProp410.xml><?xml version="1.0" encoding="utf-8"?>
<formControlPr xmlns="http://schemas.microsoft.com/office/spreadsheetml/2009/9/main" objectType="CheckBox" fmlaLink="$K$19" lockText="1" noThreeD="1"/>
</file>

<file path=xl/ctrlProps/ctrlProp411.xml><?xml version="1.0" encoding="utf-8"?>
<formControlPr xmlns="http://schemas.microsoft.com/office/spreadsheetml/2009/9/main" objectType="CheckBox" fmlaLink="$K$20" lockText="1" noThreeD="1"/>
</file>

<file path=xl/ctrlProps/ctrlProp412.xml><?xml version="1.0" encoding="utf-8"?>
<formControlPr xmlns="http://schemas.microsoft.com/office/spreadsheetml/2009/9/main" objectType="CheckBox" checked="Checked" fmlaLink="$K$21" lockText="1" noThreeD="1"/>
</file>

<file path=xl/ctrlProps/ctrlProp413.xml><?xml version="1.0" encoding="utf-8"?>
<formControlPr xmlns="http://schemas.microsoft.com/office/spreadsheetml/2009/9/main" objectType="CheckBox" fmlaLink="$K$22" lockText="1" noThreeD="1"/>
</file>

<file path=xl/ctrlProps/ctrlProp414.xml><?xml version="1.0" encoding="utf-8"?>
<formControlPr xmlns="http://schemas.microsoft.com/office/spreadsheetml/2009/9/main" objectType="CheckBox" fmlaLink="$K$23" lockText="1" noThreeD="1"/>
</file>

<file path=xl/ctrlProps/ctrlProp415.xml><?xml version="1.0" encoding="utf-8"?>
<formControlPr xmlns="http://schemas.microsoft.com/office/spreadsheetml/2009/9/main" objectType="CheckBox" fmlaLink="$K$24" lockText="1" noThreeD="1"/>
</file>

<file path=xl/ctrlProps/ctrlProp416.xml><?xml version="1.0" encoding="utf-8"?>
<formControlPr xmlns="http://schemas.microsoft.com/office/spreadsheetml/2009/9/main" objectType="CheckBox" fmlaLink="$K$27" lockText="1" noThreeD="1"/>
</file>

<file path=xl/ctrlProps/ctrlProp417.xml><?xml version="1.0" encoding="utf-8"?>
<formControlPr xmlns="http://schemas.microsoft.com/office/spreadsheetml/2009/9/main" objectType="CheckBox" fmlaLink="$O$19" lockText="1" noThreeD="1"/>
</file>

<file path=xl/ctrlProps/ctrlProp418.xml><?xml version="1.0" encoding="utf-8"?>
<formControlPr xmlns="http://schemas.microsoft.com/office/spreadsheetml/2009/9/main" objectType="CheckBox" fmlaLink="$O$21" lockText="1" noThreeD="1"/>
</file>

<file path=xl/ctrlProps/ctrlProp419.xml><?xml version="1.0" encoding="utf-8"?>
<formControlPr xmlns="http://schemas.microsoft.com/office/spreadsheetml/2009/9/main" objectType="CheckBox" fmlaLink="$O$22" lockText="1" noThreeD="1"/>
</file>

<file path=xl/ctrlProps/ctrlProp420.xml><?xml version="1.0" encoding="utf-8"?>
<formControlPr xmlns="http://schemas.microsoft.com/office/spreadsheetml/2009/9/main" objectType="CheckBox" fmlaLink="$O$23" lockText="1" noThreeD="1"/>
</file>

<file path=xl/ctrlProps/ctrlProp421.xml><?xml version="1.0" encoding="utf-8"?>
<formControlPr xmlns="http://schemas.microsoft.com/office/spreadsheetml/2009/9/main" objectType="CheckBox" fmlaLink="$O$24" lockText="1" noThreeD="1"/>
</file>

<file path=xl/ctrlProps/ctrlProp422.xml><?xml version="1.0" encoding="utf-8"?>
<formControlPr xmlns="http://schemas.microsoft.com/office/spreadsheetml/2009/9/main" objectType="CheckBox" fmlaLink="$O$25" lockText="1" noThreeD="1"/>
</file>

<file path=xl/ctrlProps/ctrlProp423.xml><?xml version="1.0" encoding="utf-8"?>
<formControlPr xmlns="http://schemas.microsoft.com/office/spreadsheetml/2009/9/main" objectType="CheckBox" fmlaLink="$O$20" lockText="1" noThreeD="1"/>
</file>

<file path=xl/ctrlProps/ctrlProp424.xml><?xml version="1.0" encoding="utf-8"?>
<formControlPr xmlns="http://schemas.microsoft.com/office/spreadsheetml/2009/9/main" objectType="CheckBox" fmlaLink="$O$26" lockText="1" noThreeD="1"/>
</file>

<file path=xl/ctrlProps/ctrlProp425.xml><?xml version="1.0" encoding="utf-8"?>
<formControlPr xmlns="http://schemas.microsoft.com/office/spreadsheetml/2009/9/main" objectType="CheckBox" fmlaLink="$Q$19" lockText="1" noThreeD="1"/>
</file>

<file path=xl/ctrlProps/ctrlProp426.xml><?xml version="1.0" encoding="utf-8"?>
<formControlPr xmlns="http://schemas.microsoft.com/office/spreadsheetml/2009/9/main" objectType="CheckBox" fmlaLink="$Q$20" lockText="1" noThreeD="1"/>
</file>

<file path=xl/ctrlProps/ctrlProp427.xml><?xml version="1.0" encoding="utf-8"?>
<formControlPr xmlns="http://schemas.microsoft.com/office/spreadsheetml/2009/9/main" objectType="CheckBox" checked="Checked" fmlaLink="$S$19" lockText="1" noThreeD="1"/>
</file>

<file path=xl/ctrlProps/ctrlProp428.xml><?xml version="1.0" encoding="utf-8"?>
<formControlPr xmlns="http://schemas.microsoft.com/office/spreadsheetml/2009/9/main" objectType="CheckBox" fmlaLink="$S$20" lockText="1" noThreeD="1"/>
</file>

<file path=xl/ctrlProps/ctrlProp429.xml><?xml version="1.0" encoding="utf-8"?>
<formControlPr xmlns="http://schemas.microsoft.com/office/spreadsheetml/2009/9/main" objectType="CheckBox" fmlaLink="$S$21" lockText="1" noThreeD="1"/>
</file>

<file path=xl/ctrlProps/ctrlProp430.xml><?xml version="1.0" encoding="utf-8"?>
<formControlPr xmlns="http://schemas.microsoft.com/office/spreadsheetml/2009/9/main" objectType="CheckBox" fmlaLink="$S$22" lockText="1" noThreeD="1"/>
</file>

<file path=xl/ctrlProps/ctrlProp431.xml><?xml version="1.0" encoding="utf-8"?>
<formControlPr xmlns="http://schemas.microsoft.com/office/spreadsheetml/2009/9/main" objectType="CheckBox" fmlaLink="$M$34" lockText="1" noThreeD="1"/>
</file>

<file path=xl/ctrlProps/ctrlProp432.xml><?xml version="1.0" encoding="utf-8"?>
<formControlPr xmlns="http://schemas.microsoft.com/office/spreadsheetml/2009/9/main" objectType="CheckBox" fmlaLink="$M$35" lockText="1" noThreeD="1"/>
</file>

<file path=xl/ctrlProps/ctrlProp433.xml><?xml version="1.0" encoding="utf-8"?>
<formControlPr xmlns="http://schemas.microsoft.com/office/spreadsheetml/2009/9/main" objectType="CheckBox" fmlaLink="$M$28" lockText="1" noThreeD="1"/>
</file>

<file path=xl/ctrlProps/ctrlProp434.xml><?xml version="1.0" encoding="utf-8"?>
<formControlPr xmlns="http://schemas.microsoft.com/office/spreadsheetml/2009/9/main" objectType="CheckBox" fmlaLink="$M$29" lockText="1" noThreeD="1"/>
</file>

<file path=xl/ctrlProps/ctrlProp435.xml><?xml version="1.0" encoding="utf-8"?>
<formControlPr xmlns="http://schemas.microsoft.com/office/spreadsheetml/2009/9/main" objectType="CheckBox" fmlaLink="$M$30" lockText="1" noThreeD="1"/>
</file>

<file path=xl/ctrlProps/ctrlProp436.xml><?xml version="1.0" encoding="utf-8"?>
<formControlPr xmlns="http://schemas.microsoft.com/office/spreadsheetml/2009/9/main" objectType="CheckBox" fmlaLink="$M$31" lockText="1" noThreeD="1"/>
</file>

<file path=xl/ctrlProps/ctrlProp437.xml><?xml version="1.0" encoding="utf-8"?>
<formControlPr xmlns="http://schemas.microsoft.com/office/spreadsheetml/2009/9/main" objectType="CheckBox" fmlaLink="$M$32" lockText="1" noThreeD="1"/>
</file>

<file path=xl/ctrlProps/ctrlProp438.xml><?xml version="1.0" encoding="utf-8"?>
<formControlPr xmlns="http://schemas.microsoft.com/office/spreadsheetml/2009/9/main" objectType="CheckBox" fmlaLink="$M$33" lockText="1" noThreeD="1"/>
</file>

<file path=xl/ctrlProps/ctrlProp439.xml><?xml version="1.0" encoding="utf-8"?>
<formControlPr xmlns="http://schemas.microsoft.com/office/spreadsheetml/2009/9/main" objectType="CheckBox" fmlaLink="$M$36" lockText="1" noThreeD="1"/>
</file>

<file path=xl/ctrlProps/ctrlProp440.xml><?xml version="1.0" encoding="utf-8"?>
<formControlPr xmlns="http://schemas.microsoft.com/office/spreadsheetml/2009/9/main" objectType="CheckBox" fmlaLink="$Q$21" lockText="1" noThreeD="1"/>
</file>

<file path=xl/ctrlProps/ctrlProp441.xml><?xml version="1.0" encoding="utf-8"?>
<formControlPr xmlns="http://schemas.microsoft.com/office/spreadsheetml/2009/9/main" objectType="CheckBox" checked="Checked" fmlaLink="$Q$22" lockText="1" noThreeD="1"/>
</file>

<file path=xl/ctrlProps/ctrlProp442.xml><?xml version="1.0" encoding="utf-8"?>
<formControlPr xmlns="http://schemas.microsoft.com/office/spreadsheetml/2009/9/main" objectType="CheckBox" fmlaLink="$M$25" lockText="1" noThreeD="1"/>
</file>

<file path=xl/ctrlProps/ctrlProp443.xml><?xml version="1.0" encoding="utf-8"?>
<formControlPr xmlns="http://schemas.microsoft.com/office/spreadsheetml/2009/9/main" objectType="CheckBox" fmlaLink="$M$26" lockText="1" noThreeD="1"/>
</file>

<file path=xl/ctrlProps/ctrlProp444.xml><?xml version="1.0" encoding="utf-8"?>
<formControlPr xmlns="http://schemas.microsoft.com/office/spreadsheetml/2009/9/main" objectType="CheckBox" fmlaLink="$M$19" lockText="1" noThreeD="1"/>
</file>

<file path=xl/ctrlProps/ctrlProp445.xml><?xml version="1.0" encoding="utf-8"?>
<formControlPr xmlns="http://schemas.microsoft.com/office/spreadsheetml/2009/9/main" objectType="CheckBox" fmlaLink="$M$20" lockText="1" noThreeD="1"/>
</file>

<file path=xl/ctrlProps/ctrlProp446.xml><?xml version="1.0" encoding="utf-8"?>
<formControlPr xmlns="http://schemas.microsoft.com/office/spreadsheetml/2009/9/main" objectType="CheckBox" fmlaLink="$M$21" lockText="1" noThreeD="1"/>
</file>

<file path=xl/ctrlProps/ctrlProp447.xml><?xml version="1.0" encoding="utf-8"?>
<formControlPr xmlns="http://schemas.microsoft.com/office/spreadsheetml/2009/9/main" objectType="CheckBox" fmlaLink="$M$22" lockText="1" noThreeD="1"/>
</file>

<file path=xl/ctrlProps/ctrlProp448.xml><?xml version="1.0" encoding="utf-8"?>
<formControlPr xmlns="http://schemas.microsoft.com/office/spreadsheetml/2009/9/main" objectType="CheckBox" fmlaLink="$M$23" lockText="1" noThreeD="1"/>
</file>

<file path=xl/ctrlProps/ctrlProp449.xml><?xml version="1.0" encoding="utf-8"?>
<formControlPr xmlns="http://schemas.microsoft.com/office/spreadsheetml/2009/9/main" objectType="CheckBox" fmlaLink="$M$24" lockText="1" noThreeD="1"/>
</file>

<file path=xl/ctrlProps/ctrlProp450.xml><?xml version="1.0" encoding="utf-8"?>
<formControlPr xmlns="http://schemas.microsoft.com/office/spreadsheetml/2009/9/main" objectType="CheckBox" fmlaLink="$M$27" lockText="1" noThreeD="1"/>
</file>

<file path=xl/ctrlProps/ctrlProp451.xml><?xml version="1.0" encoding="utf-8"?>
<formControlPr xmlns="http://schemas.microsoft.com/office/spreadsheetml/2009/9/main" objectType="CheckBox" fmlaLink="$K$34" lockText="1" noThreeD="1"/>
</file>

<file path=xl/ctrlProps/ctrlProp452.xml><?xml version="1.0" encoding="utf-8"?>
<formControlPr xmlns="http://schemas.microsoft.com/office/spreadsheetml/2009/9/main" objectType="CheckBox" fmlaLink="$K$35" lockText="1" noThreeD="1"/>
</file>

<file path=xl/ctrlProps/ctrlProp453.xml><?xml version="1.0" encoding="utf-8"?>
<formControlPr xmlns="http://schemas.microsoft.com/office/spreadsheetml/2009/9/main" objectType="CheckBox" fmlaLink="$K$28" lockText="1" noThreeD="1"/>
</file>

<file path=xl/ctrlProps/ctrlProp454.xml><?xml version="1.0" encoding="utf-8"?>
<formControlPr xmlns="http://schemas.microsoft.com/office/spreadsheetml/2009/9/main" objectType="CheckBox" fmlaLink="$K$29" lockText="1" noThreeD="1"/>
</file>

<file path=xl/ctrlProps/ctrlProp455.xml><?xml version="1.0" encoding="utf-8"?>
<formControlPr xmlns="http://schemas.microsoft.com/office/spreadsheetml/2009/9/main" objectType="CheckBox" fmlaLink="$K$30" lockText="1" noThreeD="1"/>
</file>

<file path=xl/ctrlProps/ctrlProp456.xml><?xml version="1.0" encoding="utf-8"?>
<formControlPr xmlns="http://schemas.microsoft.com/office/spreadsheetml/2009/9/main" objectType="CheckBox" fmlaLink="$K$31" lockText="1" noThreeD="1"/>
</file>

<file path=xl/ctrlProps/ctrlProp457.xml><?xml version="1.0" encoding="utf-8"?>
<formControlPr xmlns="http://schemas.microsoft.com/office/spreadsheetml/2009/9/main" objectType="CheckBox" fmlaLink="$K$32" lockText="1" noThreeD="1"/>
</file>

<file path=xl/ctrlProps/ctrlProp458.xml><?xml version="1.0" encoding="utf-8"?>
<formControlPr xmlns="http://schemas.microsoft.com/office/spreadsheetml/2009/9/main" objectType="CheckBox" fmlaLink="$K$33" lockText="1" noThreeD="1"/>
</file>

<file path=xl/ctrlProps/ctrlProp459.xml><?xml version="1.0" encoding="utf-8"?>
<formControlPr xmlns="http://schemas.microsoft.com/office/spreadsheetml/2009/9/main" objectType="CheckBox" fmlaLink="$K$36" lockText="1" noThreeD="1"/>
</file>

<file path=xl/ctrlProps/ctrlProp460.xml><?xml version="1.0" encoding="utf-8"?>
<formControlPr xmlns="http://schemas.microsoft.com/office/spreadsheetml/2009/9/main" objectType="CheckBox" fmlaLink="$K$25" lockText="1" noThreeD="1"/>
</file>

<file path=xl/ctrlProps/ctrlProp461.xml><?xml version="1.0" encoding="utf-8"?>
<formControlPr xmlns="http://schemas.microsoft.com/office/spreadsheetml/2009/9/main" objectType="CheckBox" fmlaLink="$K$26" lockText="1" noThreeD="1"/>
</file>

<file path=xl/ctrlProps/ctrlProp462.xml><?xml version="1.0" encoding="utf-8"?>
<formControlPr xmlns="http://schemas.microsoft.com/office/spreadsheetml/2009/9/main" objectType="CheckBox" fmlaLink="$K$19" lockText="1" noThreeD="1"/>
</file>

<file path=xl/ctrlProps/ctrlProp463.xml><?xml version="1.0" encoding="utf-8"?>
<formControlPr xmlns="http://schemas.microsoft.com/office/spreadsheetml/2009/9/main" objectType="CheckBox" fmlaLink="$K$20" lockText="1" noThreeD="1"/>
</file>

<file path=xl/ctrlProps/ctrlProp464.xml><?xml version="1.0" encoding="utf-8"?>
<formControlPr xmlns="http://schemas.microsoft.com/office/spreadsheetml/2009/9/main" objectType="CheckBox" checked="Checked" fmlaLink="$K$21" lockText="1" noThreeD="1"/>
</file>

<file path=xl/ctrlProps/ctrlProp465.xml><?xml version="1.0" encoding="utf-8"?>
<formControlPr xmlns="http://schemas.microsoft.com/office/spreadsheetml/2009/9/main" objectType="CheckBox" fmlaLink="$K$22" lockText="1" noThreeD="1"/>
</file>

<file path=xl/ctrlProps/ctrlProp466.xml><?xml version="1.0" encoding="utf-8"?>
<formControlPr xmlns="http://schemas.microsoft.com/office/spreadsheetml/2009/9/main" objectType="CheckBox" fmlaLink="$K$23" lockText="1" noThreeD="1"/>
</file>

<file path=xl/ctrlProps/ctrlProp467.xml><?xml version="1.0" encoding="utf-8"?>
<formControlPr xmlns="http://schemas.microsoft.com/office/spreadsheetml/2009/9/main" objectType="CheckBox" fmlaLink="$K$24" lockText="1" noThreeD="1"/>
</file>

<file path=xl/ctrlProps/ctrlProp468.xml><?xml version="1.0" encoding="utf-8"?>
<formControlPr xmlns="http://schemas.microsoft.com/office/spreadsheetml/2009/9/main" objectType="CheckBox" fmlaLink="$K$27" lockText="1" noThreeD="1"/>
</file>

<file path=xl/ctrlProps/ctrlProp469.xml><?xml version="1.0" encoding="utf-8"?>
<formControlPr xmlns="http://schemas.microsoft.com/office/spreadsheetml/2009/9/main" objectType="CheckBox" fmlaLink="$O$19" lockText="1" noThreeD="1"/>
</file>

<file path=xl/ctrlProps/ctrlProp470.xml><?xml version="1.0" encoding="utf-8"?>
<formControlPr xmlns="http://schemas.microsoft.com/office/spreadsheetml/2009/9/main" objectType="CheckBox" fmlaLink="$O$21" lockText="1" noThreeD="1"/>
</file>

<file path=xl/ctrlProps/ctrlProp471.xml><?xml version="1.0" encoding="utf-8"?>
<formControlPr xmlns="http://schemas.microsoft.com/office/spreadsheetml/2009/9/main" objectType="CheckBox" fmlaLink="$O$22" lockText="1" noThreeD="1"/>
</file>

<file path=xl/ctrlProps/ctrlProp472.xml><?xml version="1.0" encoding="utf-8"?>
<formControlPr xmlns="http://schemas.microsoft.com/office/spreadsheetml/2009/9/main" objectType="CheckBox" fmlaLink="$O$23" lockText="1" noThreeD="1"/>
</file>

<file path=xl/ctrlProps/ctrlProp473.xml><?xml version="1.0" encoding="utf-8"?>
<formControlPr xmlns="http://schemas.microsoft.com/office/spreadsheetml/2009/9/main" objectType="CheckBox" fmlaLink="$O$24" lockText="1" noThreeD="1"/>
</file>

<file path=xl/ctrlProps/ctrlProp474.xml><?xml version="1.0" encoding="utf-8"?>
<formControlPr xmlns="http://schemas.microsoft.com/office/spreadsheetml/2009/9/main" objectType="CheckBox" fmlaLink="$O$25" lockText="1" noThreeD="1"/>
</file>

<file path=xl/ctrlProps/ctrlProp475.xml><?xml version="1.0" encoding="utf-8"?>
<formControlPr xmlns="http://schemas.microsoft.com/office/spreadsheetml/2009/9/main" objectType="CheckBox" checked="Checked" fmlaLink="$O$20" lockText="1" noThreeD="1"/>
</file>

<file path=xl/ctrlProps/ctrlProp476.xml><?xml version="1.0" encoding="utf-8"?>
<formControlPr xmlns="http://schemas.microsoft.com/office/spreadsheetml/2009/9/main" objectType="CheckBox" fmlaLink="$O$26" lockText="1" noThreeD="1"/>
</file>

<file path=xl/ctrlProps/ctrlProp477.xml><?xml version="1.0" encoding="utf-8"?>
<formControlPr xmlns="http://schemas.microsoft.com/office/spreadsheetml/2009/9/main" objectType="CheckBox" fmlaLink="$Q$19" lockText="1" noThreeD="1"/>
</file>

<file path=xl/ctrlProps/ctrlProp478.xml><?xml version="1.0" encoding="utf-8"?>
<formControlPr xmlns="http://schemas.microsoft.com/office/spreadsheetml/2009/9/main" objectType="CheckBox" fmlaLink="$Q$20" lockText="1" noThreeD="1"/>
</file>

<file path=xl/ctrlProps/ctrlProp479.xml><?xml version="1.0" encoding="utf-8"?>
<formControlPr xmlns="http://schemas.microsoft.com/office/spreadsheetml/2009/9/main" objectType="CheckBox" fmlaLink="$S$19" lockText="1" noThreeD="1"/>
</file>

<file path=xl/ctrlProps/ctrlProp480.xml><?xml version="1.0" encoding="utf-8"?>
<formControlPr xmlns="http://schemas.microsoft.com/office/spreadsheetml/2009/9/main" objectType="CheckBox" fmlaLink="$S$20" lockText="1" noThreeD="1"/>
</file>

<file path=xl/ctrlProps/ctrlProp481.xml><?xml version="1.0" encoding="utf-8"?>
<formControlPr xmlns="http://schemas.microsoft.com/office/spreadsheetml/2009/9/main" objectType="CheckBox" fmlaLink="$S$21" lockText="1" noThreeD="1"/>
</file>

<file path=xl/ctrlProps/ctrlProp482.xml><?xml version="1.0" encoding="utf-8"?>
<formControlPr xmlns="http://schemas.microsoft.com/office/spreadsheetml/2009/9/main" objectType="CheckBox" checked="Checked" fmlaLink="$S$22" lockText="1" noThreeD="1"/>
</file>

<file path=xl/ctrlProps/ctrlProp483.xml><?xml version="1.0" encoding="utf-8"?>
<formControlPr xmlns="http://schemas.microsoft.com/office/spreadsheetml/2009/9/main" objectType="CheckBox" fmlaLink="$M$34" lockText="1" noThreeD="1"/>
</file>

<file path=xl/ctrlProps/ctrlProp484.xml><?xml version="1.0" encoding="utf-8"?>
<formControlPr xmlns="http://schemas.microsoft.com/office/spreadsheetml/2009/9/main" objectType="CheckBox" fmlaLink="$M$35" lockText="1" noThreeD="1"/>
</file>

<file path=xl/ctrlProps/ctrlProp485.xml><?xml version="1.0" encoding="utf-8"?>
<formControlPr xmlns="http://schemas.microsoft.com/office/spreadsheetml/2009/9/main" objectType="CheckBox" fmlaLink="$M$28" lockText="1" noThreeD="1"/>
</file>

<file path=xl/ctrlProps/ctrlProp486.xml><?xml version="1.0" encoding="utf-8"?>
<formControlPr xmlns="http://schemas.microsoft.com/office/spreadsheetml/2009/9/main" objectType="CheckBox" fmlaLink="$M$29" lockText="1" noThreeD="1"/>
</file>

<file path=xl/ctrlProps/ctrlProp487.xml><?xml version="1.0" encoding="utf-8"?>
<formControlPr xmlns="http://schemas.microsoft.com/office/spreadsheetml/2009/9/main" objectType="CheckBox" fmlaLink="$M$30" lockText="1" noThreeD="1"/>
</file>

<file path=xl/ctrlProps/ctrlProp488.xml><?xml version="1.0" encoding="utf-8"?>
<formControlPr xmlns="http://schemas.microsoft.com/office/spreadsheetml/2009/9/main" objectType="CheckBox" fmlaLink="$M$31" lockText="1" noThreeD="1"/>
</file>

<file path=xl/ctrlProps/ctrlProp489.xml><?xml version="1.0" encoding="utf-8"?>
<formControlPr xmlns="http://schemas.microsoft.com/office/spreadsheetml/2009/9/main" objectType="CheckBox" fmlaLink="$M$32" lockText="1" noThreeD="1"/>
</file>

<file path=xl/ctrlProps/ctrlProp490.xml><?xml version="1.0" encoding="utf-8"?>
<formControlPr xmlns="http://schemas.microsoft.com/office/spreadsheetml/2009/9/main" objectType="CheckBox" checked="Checked" fmlaLink="$M$33" lockText="1" noThreeD="1"/>
</file>

<file path=xl/ctrlProps/ctrlProp491.xml><?xml version="1.0" encoding="utf-8"?>
<formControlPr xmlns="http://schemas.microsoft.com/office/spreadsheetml/2009/9/main" objectType="CheckBox" fmlaLink="$M$36" lockText="1" noThreeD="1"/>
</file>

<file path=xl/ctrlProps/ctrlProp492.xml><?xml version="1.0" encoding="utf-8"?>
<formControlPr xmlns="http://schemas.microsoft.com/office/spreadsheetml/2009/9/main" objectType="CheckBox" fmlaLink="$Q$21" lockText="1" noThreeD="1"/>
</file>

<file path=xl/ctrlProps/ctrlProp493.xml><?xml version="1.0" encoding="utf-8"?>
<formControlPr xmlns="http://schemas.microsoft.com/office/spreadsheetml/2009/9/main" objectType="CheckBox" checked="Checked" fmlaLink="$Q$22" lockText="1" noThreeD="1"/>
</file>

<file path=xl/ctrlProps/ctrlProp494.xml><?xml version="1.0" encoding="utf-8"?>
<formControlPr xmlns="http://schemas.microsoft.com/office/spreadsheetml/2009/9/main" objectType="CheckBox" fmlaLink="$M$25" lockText="1" noThreeD="1"/>
</file>

<file path=xl/ctrlProps/ctrlProp495.xml><?xml version="1.0" encoding="utf-8"?>
<formControlPr xmlns="http://schemas.microsoft.com/office/spreadsheetml/2009/9/main" objectType="CheckBox" fmlaLink="$M$26" lockText="1" noThreeD="1"/>
</file>

<file path=xl/ctrlProps/ctrlProp496.xml><?xml version="1.0" encoding="utf-8"?>
<formControlPr xmlns="http://schemas.microsoft.com/office/spreadsheetml/2009/9/main" objectType="CheckBox" fmlaLink="$M$19" lockText="1" noThreeD="1"/>
</file>

<file path=xl/ctrlProps/ctrlProp497.xml><?xml version="1.0" encoding="utf-8"?>
<formControlPr xmlns="http://schemas.microsoft.com/office/spreadsheetml/2009/9/main" objectType="CheckBox" fmlaLink="$M$20" lockText="1" noThreeD="1"/>
</file>

<file path=xl/ctrlProps/ctrlProp498.xml><?xml version="1.0" encoding="utf-8"?>
<formControlPr xmlns="http://schemas.microsoft.com/office/spreadsheetml/2009/9/main" objectType="CheckBox" fmlaLink="$M$21" lockText="1" noThreeD="1"/>
</file>

<file path=xl/ctrlProps/ctrlProp499.xml><?xml version="1.0" encoding="utf-8"?>
<formControlPr xmlns="http://schemas.microsoft.com/office/spreadsheetml/2009/9/main" objectType="CheckBox" fmlaLink="$M$22" lockText="1" noThreeD="1"/>
</file>

<file path=xl/ctrlProps/ctrlProp500.xml><?xml version="1.0" encoding="utf-8"?>
<formControlPr xmlns="http://schemas.microsoft.com/office/spreadsheetml/2009/9/main" objectType="CheckBox" fmlaLink="$M$23" lockText="1" noThreeD="1"/>
</file>

<file path=xl/ctrlProps/ctrlProp501.xml><?xml version="1.0" encoding="utf-8"?>
<formControlPr xmlns="http://schemas.microsoft.com/office/spreadsheetml/2009/9/main" objectType="CheckBox" fmlaLink="$M$24" lockText="1" noThreeD="1"/>
</file>

<file path=xl/ctrlProps/ctrlProp502.xml><?xml version="1.0" encoding="utf-8"?>
<formControlPr xmlns="http://schemas.microsoft.com/office/spreadsheetml/2009/9/main" objectType="CheckBox" fmlaLink="$M$27" lockText="1" noThreeD="1"/>
</file>

<file path=xl/ctrlProps/ctrlProp503.xml><?xml version="1.0" encoding="utf-8"?>
<formControlPr xmlns="http://schemas.microsoft.com/office/spreadsheetml/2009/9/main" objectType="CheckBox" fmlaLink="$K$34" lockText="1" noThreeD="1"/>
</file>

<file path=xl/ctrlProps/ctrlProp504.xml><?xml version="1.0" encoding="utf-8"?>
<formControlPr xmlns="http://schemas.microsoft.com/office/spreadsheetml/2009/9/main" objectType="CheckBox" fmlaLink="$K$35" lockText="1" noThreeD="1"/>
</file>

<file path=xl/ctrlProps/ctrlProp505.xml><?xml version="1.0" encoding="utf-8"?>
<formControlPr xmlns="http://schemas.microsoft.com/office/spreadsheetml/2009/9/main" objectType="CheckBox" fmlaLink="$K$28" lockText="1" noThreeD="1"/>
</file>

<file path=xl/ctrlProps/ctrlProp506.xml><?xml version="1.0" encoding="utf-8"?>
<formControlPr xmlns="http://schemas.microsoft.com/office/spreadsheetml/2009/9/main" objectType="CheckBox" fmlaLink="$K$29" lockText="1" noThreeD="1"/>
</file>

<file path=xl/ctrlProps/ctrlProp507.xml><?xml version="1.0" encoding="utf-8"?>
<formControlPr xmlns="http://schemas.microsoft.com/office/spreadsheetml/2009/9/main" objectType="CheckBox" fmlaLink="$K$30" lockText="1" noThreeD="1"/>
</file>

<file path=xl/ctrlProps/ctrlProp508.xml><?xml version="1.0" encoding="utf-8"?>
<formControlPr xmlns="http://schemas.microsoft.com/office/spreadsheetml/2009/9/main" objectType="CheckBox" fmlaLink="$K$31" lockText="1" noThreeD="1"/>
</file>

<file path=xl/ctrlProps/ctrlProp509.xml><?xml version="1.0" encoding="utf-8"?>
<formControlPr xmlns="http://schemas.microsoft.com/office/spreadsheetml/2009/9/main" objectType="CheckBox" fmlaLink="$K$32" lockText="1" noThreeD="1"/>
</file>

<file path=xl/ctrlProps/ctrlProp510.xml><?xml version="1.0" encoding="utf-8"?>
<formControlPr xmlns="http://schemas.microsoft.com/office/spreadsheetml/2009/9/main" objectType="CheckBox" fmlaLink="$K$33" lockText="1" noThreeD="1"/>
</file>

<file path=xl/ctrlProps/ctrlProp511.xml><?xml version="1.0" encoding="utf-8"?>
<formControlPr xmlns="http://schemas.microsoft.com/office/spreadsheetml/2009/9/main" objectType="CheckBox" fmlaLink="$K$36" lockText="1" noThreeD="1"/>
</file>

<file path=xl/ctrlProps/ctrlProp512.xml><?xml version="1.0" encoding="utf-8"?>
<formControlPr xmlns="http://schemas.microsoft.com/office/spreadsheetml/2009/9/main" objectType="CheckBox" fmlaLink="$K$25" lockText="1" noThreeD="1"/>
</file>

<file path=xl/ctrlProps/ctrlProp513.xml><?xml version="1.0" encoding="utf-8"?>
<formControlPr xmlns="http://schemas.microsoft.com/office/spreadsheetml/2009/9/main" objectType="CheckBox" fmlaLink="$K$26" lockText="1" noThreeD="1"/>
</file>

<file path=xl/ctrlProps/ctrlProp514.xml><?xml version="1.0" encoding="utf-8"?>
<formControlPr xmlns="http://schemas.microsoft.com/office/spreadsheetml/2009/9/main" objectType="CheckBox" fmlaLink="$K$19" lockText="1" noThreeD="1"/>
</file>

<file path=xl/ctrlProps/ctrlProp515.xml><?xml version="1.0" encoding="utf-8"?>
<formControlPr xmlns="http://schemas.microsoft.com/office/spreadsheetml/2009/9/main" objectType="CheckBox" fmlaLink="$K$20" lockText="1" noThreeD="1"/>
</file>

<file path=xl/ctrlProps/ctrlProp516.xml><?xml version="1.0" encoding="utf-8"?>
<formControlPr xmlns="http://schemas.microsoft.com/office/spreadsheetml/2009/9/main" objectType="CheckBox" fmlaLink="$K$21" lockText="1" noThreeD="1"/>
</file>

<file path=xl/ctrlProps/ctrlProp517.xml><?xml version="1.0" encoding="utf-8"?>
<formControlPr xmlns="http://schemas.microsoft.com/office/spreadsheetml/2009/9/main" objectType="CheckBox" fmlaLink="$K$22" lockText="1" noThreeD="1"/>
</file>

<file path=xl/ctrlProps/ctrlProp518.xml><?xml version="1.0" encoding="utf-8"?>
<formControlPr xmlns="http://schemas.microsoft.com/office/spreadsheetml/2009/9/main" objectType="CheckBox" fmlaLink="$K$23" lockText="1" noThreeD="1"/>
</file>

<file path=xl/ctrlProps/ctrlProp519.xml><?xml version="1.0" encoding="utf-8"?>
<formControlPr xmlns="http://schemas.microsoft.com/office/spreadsheetml/2009/9/main" objectType="CheckBox" fmlaLink="$K$24" lockText="1" noThreeD="1"/>
</file>

<file path=xl/ctrlProps/ctrlProp520.xml><?xml version="1.0" encoding="utf-8"?>
<formControlPr xmlns="http://schemas.microsoft.com/office/spreadsheetml/2009/9/main" objectType="CheckBox" fmlaLink="$K$27" lockText="1" noThreeD="1"/>
</file>

<file path=xl/ctrlProps/ctrlProp521.xml><?xml version="1.0" encoding="utf-8"?>
<formControlPr xmlns="http://schemas.microsoft.com/office/spreadsheetml/2009/9/main" objectType="CheckBox" fmlaLink="$O$19" lockText="1" noThreeD="1"/>
</file>

<file path=xl/ctrlProps/ctrlProp522.xml><?xml version="1.0" encoding="utf-8"?>
<formControlPr xmlns="http://schemas.microsoft.com/office/spreadsheetml/2009/9/main" objectType="CheckBox" fmlaLink="$O$21" lockText="1" noThreeD="1"/>
</file>

<file path=xl/ctrlProps/ctrlProp523.xml><?xml version="1.0" encoding="utf-8"?>
<formControlPr xmlns="http://schemas.microsoft.com/office/spreadsheetml/2009/9/main" objectType="CheckBox" checked="Checked" fmlaLink="$O$22" lockText="1" noThreeD="1"/>
</file>

<file path=xl/ctrlProps/ctrlProp524.xml><?xml version="1.0" encoding="utf-8"?>
<formControlPr xmlns="http://schemas.microsoft.com/office/spreadsheetml/2009/9/main" objectType="CheckBox" fmlaLink="$O$23" lockText="1" noThreeD="1"/>
</file>

<file path=xl/ctrlProps/ctrlProp525.xml><?xml version="1.0" encoding="utf-8"?>
<formControlPr xmlns="http://schemas.microsoft.com/office/spreadsheetml/2009/9/main" objectType="CheckBox" fmlaLink="$O$24" lockText="1" noThreeD="1"/>
</file>

<file path=xl/ctrlProps/ctrlProp526.xml><?xml version="1.0" encoding="utf-8"?>
<formControlPr xmlns="http://schemas.microsoft.com/office/spreadsheetml/2009/9/main" objectType="CheckBox" fmlaLink="$O$25" lockText="1" noThreeD="1"/>
</file>

<file path=xl/ctrlProps/ctrlProp527.xml><?xml version="1.0" encoding="utf-8"?>
<formControlPr xmlns="http://schemas.microsoft.com/office/spreadsheetml/2009/9/main" objectType="CheckBox" fmlaLink="$O$20" lockText="1" noThreeD="1"/>
</file>

<file path=xl/ctrlProps/ctrlProp528.xml><?xml version="1.0" encoding="utf-8"?>
<formControlPr xmlns="http://schemas.microsoft.com/office/spreadsheetml/2009/9/main" objectType="CheckBox" fmlaLink="$O$26" lockText="1" noThreeD="1"/>
</file>

<file path=xl/ctrlProps/ctrlProp529.xml><?xml version="1.0" encoding="utf-8"?>
<formControlPr xmlns="http://schemas.microsoft.com/office/spreadsheetml/2009/9/main" objectType="CheckBox" fmlaLink="$Q$19" lockText="1" noThreeD="1"/>
</file>

<file path=xl/ctrlProps/ctrlProp530.xml><?xml version="1.0" encoding="utf-8"?>
<formControlPr xmlns="http://schemas.microsoft.com/office/spreadsheetml/2009/9/main" objectType="CheckBox" fmlaLink="$Q$20" lockText="1" noThreeD="1"/>
</file>

<file path=xl/ctrlProps/ctrlProp531.xml><?xml version="1.0" encoding="utf-8"?>
<formControlPr xmlns="http://schemas.microsoft.com/office/spreadsheetml/2009/9/main" objectType="CheckBox" fmlaLink="$S$19" lockText="1" noThreeD="1"/>
</file>

<file path=xl/ctrlProps/ctrlProp532.xml><?xml version="1.0" encoding="utf-8"?>
<formControlPr xmlns="http://schemas.microsoft.com/office/spreadsheetml/2009/9/main" objectType="CheckBox" fmlaLink="$S$20" lockText="1" noThreeD="1"/>
</file>

<file path=xl/ctrlProps/ctrlProp533.xml><?xml version="1.0" encoding="utf-8"?>
<formControlPr xmlns="http://schemas.microsoft.com/office/spreadsheetml/2009/9/main" objectType="CheckBox" fmlaLink="$S$21" lockText="1" noThreeD="1"/>
</file>

<file path=xl/ctrlProps/ctrlProp534.xml><?xml version="1.0" encoding="utf-8"?>
<formControlPr xmlns="http://schemas.microsoft.com/office/spreadsheetml/2009/9/main" objectType="CheckBox" checked="Checked" fmlaLink="$S$22" lockText="1" noThreeD="1"/>
</file>

<file path=xl/ctrlProps/ctrlProp535.xml><?xml version="1.0" encoding="utf-8"?>
<formControlPr xmlns="http://schemas.microsoft.com/office/spreadsheetml/2009/9/main" objectType="CheckBox" fmlaLink="$M$34" lockText="1" noThreeD="1"/>
</file>

<file path=xl/ctrlProps/ctrlProp536.xml><?xml version="1.0" encoding="utf-8"?>
<formControlPr xmlns="http://schemas.microsoft.com/office/spreadsheetml/2009/9/main" objectType="CheckBox" fmlaLink="$M$35" lockText="1" noThreeD="1"/>
</file>

<file path=xl/ctrlProps/ctrlProp537.xml><?xml version="1.0" encoding="utf-8"?>
<formControlPr xmlns="http://schemas.microsoft.com/office/spreadsheetml/2009/9/main" objectType="CheckBox" fmlaLink="$M$28" lockText="1" noThreeD="1"/>
</file>

<file path=xl/ctrlProps/ctrlProp538.xml><?xml version="1.0" encoding="utf-8"?>
<formControlPr xmlns="http://schemas.microsoft.com/office/spreadsheetml/2009/9/main" objectType="CheckBox" fmlaLink="$M$29" lockText="1" noThreeD="1"/>
</file>

<file path=xl/ctrlProps/ctrlProp539.xml><?xml version="1.0" encoding="utf-8"?>
<formControlPr xmlns="http://schemas.microsoft.com/office/spreadsheetml/2009/9/main" objectType="CheckBox" fmlaLink="$M$30" lockText="1" noThreeD="1"/>
</file>

<file path=xl/ctrlProps/ctrlProp540.xml><?xml version="1.0" encoding="utf-8"?>
<formControlPr xmlns="http://schemas.microsoft.com/office/spreadsheetml/2009/9/main" objectType="CheckBox" fmlaLink="$M$31" lockText="1" noThreeD="1"/>
</file>

<file path=xl/ctrlProps/ctrlProp541.xml><?xml version="1.0" encoding="utf-8"?>
<formControlPr xmlns="http://schemas.microsoft.com/office/spreadsheetml/2009/9/main" objectType="CheckBox" fmlaLink="$M$32" lockText="1" noThreeD="1"/>
</file>

<file path=xl/ctrlProps/ctrlProp542.xml><?xml version="1.0" encoding="utf-8"?>
<formControlPr xmlns="http://schemas.microsoft.com/office/spreadsheetml/2009/9/main" objectType="CheckBox" fmlaLink="$M$33" lockText="1" noThreeD="1"/>
</file>

<file path=xl/ctrlProps/ctrlProp543.xml><?xml version="1.0" encoding="utf-8"?>
<formControlPr xmlns="http://schemas.microsoft.com/office/spreadsheetml/2009/9/main" objectType="CheckBox" checked="Checked" fmlaLink="$M$36" lockText="1" noThreeD="1"/>
</file>

<file path=xl/ctrlProps/ctrlProp544.xml><?xml version="1.0" encoding="utf-8"?>
<formControlPr xmlns="http://schemas.microsoft.com/office/spreadsheetml/2009/9/main" objectType="CheckBox" fmlaLink="$Q$21" lockText="1" noThreeD="1"/>
</file>

<file path=xl/ctrlProps/ctrlProp545.xml><?xml version="1.0" encoding="utf-8"?>
<formControlPr xmlns="http://schemas.microsoft.com/office/spreadsheetml/2009/9/main" objectType="CheckBox" checked="Checked" fmlaLink="$Q$22" lockText="1" noThreeD="1"/>
</file>

<file path=xl/ctrlProps/ctrlProp546.xml><?xml version="1.0" encoding="utf-8"?>
<formControlPr xmlns="http://schemas.microsoft.com/office/spreadsheetml/2009/9/main" objectType="CheckBox" fmlaLink="$M$25" lockText="1" noThreeD="1"/>
</file>

<file path=xl/ctrlProps/ctrlProp547.xml><?xml version="1.0" encoding="utf-8"?>
<formControlPr xmlns="http://schemas.microsoft.com/office/spreadsheetml/2009/9/main" objectType="CheckBox" fmlaLink="$M$26" lockText="1" noThreeD="1"/>
</file>

<file path=xl/ctrlProps/ctrlProp548.xml><?xml version="1.0" encoding="utf-8"?>
<formControlPr xmlns="http://schemas.microsoft.com/office/spreadsheetml/2009/9/main" objectType="CheckBox" fmlaLink="$M$19" lockText="1" noThreeD="1"/>
</file>

<file path=xl/ctrlProps/ctrlProp549.xml><?xml version="1.0" encoding="utf-8"?>
<formControlPr xmlns="http://schemas.microsoft.com/office/spreadsheetml/2009/9/main" objectType="CheckBox" fmlaLink="$M$20" lockText="1" noThreeD="1"/>
</file>

<file path=xl/ctrlProps/ctrlProp550.xml><?xml version="1.0" encoding="utf-8"?>
<formControlPr xmlns="http://schemas.microsoft.com/office/spreadsheetml/2009/9/main" objectType="CheckBox" fmlaLink="$M$21" lockText="1" noThreeD="1"/>
</file>

<file path=xl/ctrlProps/ctrlProp551.xml><?xml version="1.0" encoding="utf-8"?>
<formControlPr xmlns="http://schemas.microsoft.com/office/spreadsheetml/2009/9/main" objectType="CheckBox" fmlaLink="$M$22" lockText="1" noThreeD="1"/>
</file>

<file path=xl/ctrlProps/ctrlProp552.xml><?xml version="1.0" encoding="utf-8"?>
<formControlPr xmlns="http://schemas.microsoft.com/office/spreadsheetml/2009/9/main" objectType="CheckBox" fmlaLink="$M$23" lockText="1" noThreeD="1"/>
</file>

<file path=xl/ctrlProps/ctrlProp553.xml><?xml version="1.0" encoding="utf-8"?>
<formControlPr xmlns="http://schemas.microsoft.com/office/spreadsheetml/2009/9/main" objectType="CheckBox" fmlaLink="$M$24" lockText="1" noThreeD="1"/>
</file>

<file path=xl/ctrlProps/ctrlProp554.xml><?xml version="1.0" encoding="utf-8"?>
<formControlPr xmlns="http://schemas.microsoft.com/office/spreadsheetml/2009/9/main" objectType="CheckBox" fmlaLink="$M$27" lockText="1" noThreeD="1"/>
</file>

<file path=xl/ctrlProps/ctrlProp555.xml><?xml version="1.0" encoding="utf-8"?>
<formControlPr xmlns="http://schemas.microsoft.com/office/spreadsheetml/2009/9/main" objectType="CheckBox" fmlaLink="$K$34" lockText="1" noThreeD="1"/>
</file>

<file path=xl/ctrlProps/ctrlProp556.xml><?xml version="1.0" encoding="utf-8"?>
<formControlPr xmlns="http://schemas.microsoft.com/office/spreadsheetml/2009/9/main" objectType="CheckBox" fmlaLink="$K$35" lockText="1" noThreeD="1"/>
</file>

<file path=xl/ctrlProps/ctrlProp557.xml><?xml version="1.0" encoding="utf-8"?>
<formControlPr xmlns="http://schemas.microsoft.com/office/spreadsheetml/2009/9/main" objectType="CheckBox" fmlaLink="$K$28" lockText="1" noThreeD="1"/>
</file>

<file path=xl/ctrlProps/ctrlProp558.xml><?xml version="1.0" encoding="utf-8"?>
<formControlPr xmlns="http://schemas.microsoft.com/office/spreadsheetml/2009/9/main" objectType="CheckBox" fmlaLink="$K$29" lockText="1" noThreeD="1"/>
</file>

<file path=xl/ctrlProps/ctrlProp559.xml><?xml version="1.0" encoding="utf-8"?>
<formControlPr xmlns="http://schemas.microsoft.com/office/spreadsheetml/2009/9/main" objectType="CheckBox" fmlaLink="$K$30" lockText="1" noThreeD="1"/>
</file>

<file path=xl/ctrlProps/ctrlProp560.xml><?xml version="1.0" encoding="utf-8"?>
<formControlPr xmlns="http://schemas.microsoft.com/office/spreadsheetml/2009/9/main" objectType="CheckBox" checked="Checked" fmlaLink="$K$31" lockText="1" noThreeD="1"/>
</file>

<file path=xl/ctrlProps/ctrlProp561.xml><?xml version="1.0" encoding="utf-8"?>
<formControlPr xmlns="http://schemas.microsoft.com/office/spreadsheetml/2009/9/main" objectType="CheckBox" fmlaLink="$K$32" lockText="1" noThreeD="1"/>
</file>

<file path=xl/ctrlProps/ctrlProp562.xml><?xml version="1.0" encoding="utf-8"?>
<formControlPr xmlns="http://schemas.microsoft.com/office/spreadsheetml/2009/9/main" objectType="CheckBox" fmlaLink="$K$33" lockText="1" noThreeD="1"/>
</file>

<file path=xl/ctrlProps/ctrlProp563.xml><?xml version="1.0" encoding="utf-8"?>
<formControlPr xmlns="http://schemas.microsoft.com/office/spreadsheetml/2009/9/main" objectType="CheckBox" fmlaLink="$K$36" lockText="1" noThreeD="1"/>
</file>

<file path=xl/ctrlProps/ctrlProp564.xml><?xml version="1.0" encoding="utf-8"?>
<formControlPr xmlns="http://schemas.microsoft.com/office/spreadsheetml/2009/9/main" objectType="CheckBox" fmlaLink="$K$25" lockText="1" noThreeD="1"/>
</file>

<file path=xl/ctrlProps/ctrlProp565.xml><?xml version="1.0" encoding="utf-8"?>
<formControlPr xmlns="http://schemas.microsoft.com/office/spreadsheetml/2009/9/main" objectType="CheckBox" fmlaLink="$K$26" lockText="1" noThreeD="1"/>
</file>

<file path=xl/ctrlProps/ctrlProp566.xml><?xml version="1.0" encoding="utf-8"?>
<formControlPr xmlns="http://schemas.microsoft.com/office/spreadsheetml/2009/9/main" objectType="CheckBox" fmlaLink="$K$19" lockText="1" noThreeD="1"/>
</file>

<file path=xl/ctrlProps/ctrlProp567.xml><?xml version="1.0" encoding="utf-8"?>
<formControlPr xmlns="http://schemas.microsoft.com/office/spreadsheetml/2009/9/main" objectType="CheckBox" fmlaLink="$K$20" lockText="1" noThreeD="1"/>
</file>

<file path=xl/ctrlProps/ctrlProp568.xml><?xml version="1.0" encoding="utf-8"?>
<formControlPr xmlns="http://schemas.microsoft.com/office/spreadsheetml/2009/9/main" objectType="CheckBox" fmlaLink="$K$21" lockText="1" noThreeD="1"/>
</file>

<file path=xl/ctrlProps/ctrlProp569.xml><?xml version="1.0" encoding="utf-8"?>
<formControlPr xmlns="http://schemas.microsoft.com/office/spreadsheetml/2009/9/main" objectType="CheckBox" fmlaLink="$K$22" lockText="1" noThreeD="1"/>
</file>

<file path=xl/ctrlProps/ctrlProp570.xml><?xml version="1.0" encoding="utf-8"?>
<formControlPr xmlns="http://schemas.microsoft.com/office/spreadsheetml/2009/9/main" objectType="CheckBox" fmlaLink="$K$23" lockText="1" noThreeD="1"/>
</file>

<file path=xl/ctrlProps/ctrlProp571.xml><?xml version="1.0" encoding="utf-8"?>
<formControlPr xmlns="http://schemas.microsoft.com/office/spreadsheetml/2009/9/main" objectType="CheckBox" fmlaLink="$K$24" lockText="1" noThreeD="1"/>
</file>

<file path=xl/ctrlProps/ctrlProp572.xml><?xml version="1.0" encoding="utf-8"?>
<formControlPr xmlns="http://schemas.microsoft.com/office/spreadsheetml/2009/9/main" objectType="CheckBox" fmlaLink="$K$27" lockText="1" noThreeD="1"/>
</file>

<file path=xl/ctrlProps/ctrlProp573.xml><?xml version="1.0" encoding="utf-8"?>
<formControlPr xmlns="http://schemas.microsoft.com/office/spreadsheetml/2009/9/main" objectType="CheckBox" fmlaLink="$O$19" lockText="1" noThreeD="1"/>
</file>

<file path=xl/ctrlProps/ctrlProp574.xml><?xml version="1.0" encoding="utf-8"?>
<formControlPr xmlns="http://schemas.microsoft.com/office/spreadsheetml/2009/9/main" objectType="CheckBox" fmlaLink="$O$21" lockText="1" noThreeD="1"/>
</file>

<file path=xl/ctrlProps/ctrlProp575.xml><?xml version="1.0" encoding="utf-8"?>
<formControlPr xmlns="http://schemas.microsoft.com/office/spreadsheetml/2009/9/main" objectType="CheckBox" fmlaLink="$O$22" lockText="1" noThreeD="1"/>
</file>

<file path=xl/ctrlProps/ctrlProp576.xml><?xml version="1.0" encoding="utf-8"?>
<formControlPr xmlns="http://schemas.microsoft.com/office/spreadsheetml/2009/9/main" objectType="CheckBox" fmlaLink="$O$23" lockText="1" noThreeD="1"/>
</file>

<file path=xl/ctrlProps/ctrlProp577.xml><?xml version="1.0" encoding="utf-8"?>
<formControlPr xmlns="http://schemas.microsoft.com/office/spreadsheetml/2009/9/main" objectType="CheckBox" fmlaLink="$O$24" lockText="1" noThreeD="1"/>
</file>

<file path=xl/ctrlProps/ctrlProp578.xml><?xml version="1.0" encoding="utf-8"?>
<formControlPr xmlns="http://schemas.microsoft.com/office/spreadsheetml/2009/9/main" objectType="CheckBox" checked="Checked" fmlaLink="$O$25" lockText="1" noThreeD="1"/>
</file>

<file path=xl/ctrlProps/ctrlProp579.xml><?xml version="1.0" encoding="utf-8"?>
<formControlPr xmlns="http://schemas.microsoft.com/office/spreadsheetml/2009/9/main" objectType="CheckBox" fmlaLink="$O$20" lockText="1" noThreeD="1"/>
</file>

<file path=xl/ctrlProps/ctrlProp580.xml><?xml version="1.0" encoding="utf-8"?>
<formControlPr xmlns="http://schemas.microsoft.com/office/spreadsheetml/2009/9/main" objectType="CheckBox" fmlaLink="$O$26" lockText="1" noThreeD="1"/>
</file>

<file path=xl/ctrlProps/ctrlProp581.xml><?xml version="1.0" encoding="utf-8"?>
<formControlPr xmlns="http://schemas.microsoft.com/office/spreadsheetml/2009/9/main" objectType="CheckBox" fmlaLink="$Q$19" lockText="1" noThreeD="1"/>
</file>

<file path=xl/ctrlProps/ctrlProp582.xml><?xml version="1.0" encoding="utf-8"?>
<formControlPr xmlns="http://schemas.microsoft.com/office/spreadsheetml/2009/9/main" objectType="CheckBox" checked="Checked" fmlaLink="$Q$20" lockText="1" noThreeD="1"/>
</file>

<file path=xl/ctrlProps/ctrlProp583.xml><?xml version="1.0" encoding="utf-8"?>
<formControlPr xmlns="http://schemas.microsoft.com/office/spreadsheetml/2009/9/main" objectType="CheckBox" checked="Checked" fmlaLink="$S$19" lockText="1" noThreeD="1"/>
</file>

<file path=xl/ctrlProps/ctrlProp584.xml><?xml version="1.0" encoding="utf-8"?>
<formControlPr xmlns="http://schemas.microsoft.com/office/spreadsheetml/2009/9/main" objectType="CheckBox" fmlaLink="$S$20" lockText="1" noThreeD="1"/>
</file>

<file path=xl/ctrlProps/ctrlProp585.xml><?xml version="1.0" encoding="utf-8"?>
<formControlPr xmlns="http://schemas.microsoft.com/office/spreadsheetml/2009/9/main" objectType="CheckBox" fmlaLink="$S$21" lockText="1" noThreeD="1"/>
</file>

<file path=xl/ctrlProps/ctrlProp586.xml><?xml version="1.0" encoding="utf-8"?>
<formControlPr xmlns="http://schemas.microsoft.com/office/spreadsheetml/2009/9/main" objectType="CheckBox" fmlaLink="$S$22" lockText="1" noThreeD="1"/>
</file>

<file path=xl/ctrlProps/ctrlProp587.xml><?xml version="1.0" encoding="utf-8"?>
<formControlPr xmlns="http://schemas.microsoft.com/office/spreadsheetml/2009/9/main" objectType="CheckBox" fmlaLink="$M$34" lockText="1" noThreeD="1"/>
</file>

<file path=xl/ctrlProps/ctrlProp588.xml><?xml version="1.0" encoding="utf-8"?>
<formControlPr xmlns="http://schemas.microsoft.com/office/spreadsheetml/2009/9/main" objectType="CheckBox" fmlaLink="$M$35" lockText="1" noThreeD="1"/>
</file>

<file path=xl/ctrlProps/ctrlProp589.xml><?xml version="1.0" encoding="utf-8"?>
<formControlPr xmlns="http://schemas.microsoft.com/office/spreadsheetml/2009/9/main" objectType="CheckBox" fmlaLink="$M$28" lockText="1" noThreeD="1"/>
</file>

<file path=xl/ctrlProps/ctrlProp590.xml><?xml version="1.0" encoding="utf-8"?>
<formControlPr xmlns="http://schemas.microsoft.com/office/spreadsheetml/2009/9/main" objectType="CheckBox" fmlaLink="$M$29" lockText="1" noThreeD="1"/>
</file>

<file path=xl/ctrlProps/ctrlProp591.xml><?xml version="1.0" encoding="utf-8"?>
<formControlPr xmlns="http://schemas.microsoft.com/office/spreadsheetml/2009/9/main" objectType="CheckBox" fmlaLink="$M$30" lockText="1" noThreeD="1"/>
</file>

<file path=xl/ctrlProps/ctrlProp592.xml><?xml version="1.0" encoding="utf-8"?>
<formControlPr xmlns="http://schemas.microsoft.com/office/spreadsheetml/2009/9/main" objectType="CheckBox" fmlaLink="$M$31" lockText="1" noThreeD="1"/>
</file>

<file path=xl/ctrlProps/ctrlProp593.xml><?xml version="1.0" encoding="utf-8"?>
<formControlPr xmlns="http://schemas.microsoft.com/office/spreadsheetml/2009/9/main" objectType="CheckBox" fmlaLink="$M$32" lockText="1" noThreeD="1"/>
</file>

<file path=xl/ctrlProps/ctrlProp594.xml><?xml version="1.0" encoding="utf-8"?>
<formControlPr xmlns="http://schemas.microsoft.com/office/spreadsheetml/2009/9/main" objectType="CheckBox" fmlaLink="$M$33" lockText="1" noThreeD="1"/>
</file>

<file path=xl/ctrlProps/ctrlProp595.xml><?xml version="1.0" encoding="utf-8"?>
<formControlPr xmlns="http://schemas.microsoft.com/office/spreadsheetml/2009/9/main" objectType="CheckBox" checked="Checked" fmlaLink="$M$36" lockText="1" noThreeD="1"/>
</file>

<file path=xl/ctrlProps/ctrlProp596.xml><?xml version="1.0" encoding="utf-8"?>
<formControlPr xmlns="http://schemas.microsoft.com/office/spreadsheetml/2009/9/main" objectType="CheckBox" fmlaLink="$Q$21" lockText="1" noThreeD="1"/>
</file>

<file path=xl/ctrlProps/ctrlProp597.xml><?xml version="1.0" encoding="utf-8"?>
<formControlPr xmlns="http://schemas.microsoft.com/office/spreadsheetml/2009/9/main" objectType="CheckBox" fmlaLink="$Q$22" lockText="1" noThreeD="1"/>
</file>

<file path=xl/ctrlProps/ctrlProp598.xml><?xml version="1.0" encoding="utf-8"?>
<formControlPr xmlns="http://schemas.microsoft.com/office/spreadsheetml/2009/9/main" objectType="CheckBox" fmlaLink="$M$25" lockText="1" noThreeD="1"/>
</file>

<file path=xl/ctrlProps/ctrlProp599.xml><?xml version="1.0" encoding="utf-8"?>
<formControlPr xmlns="http://schemas.microsoft.com/office/spreadsheetml/2009/9/main" objectType="CheckBox" fmlaLink="$M$26" lockText="1" noThreeD="1"/>
</file>

<file path=xl/ctrlProps/ctrlProp600.xml><?xml version="1.0" encoding="utf-8"?>
<formControlPr xmlns="http://schemas.microsoft.com/office/spreadsheetml/2009/9/main" objectType="CheckBox" fmlaLink="$M$19" lockText="1" noThreeD="1"/>
</file>

<file path=xl/ctrlProps/ctrlProp601.xml><?xml version="1.0" encoding="utf-8"?>
<formControlPr xmlns="http://schemas.microsoft.com/office/spreadsheetml/2009/9/main" objectType="CheckBox" fmlaLink="$M$20" lockText="1" noThreeD="1"/>
</file>

<file path=xl/ctrlProps/ctrlProp602.xml><?xml version="1.0" encoding="utf-8"?>
<formControlPr xmlns="http://schemas.microsoft.com/office/spreadsheetml/2009/9/main" objectType="CheckBox" fmlaLink="$M$21" lockText="1" noThreeD="1"/>
</file>

<file path=xl/ctrlProps/ctrlProp603.xml><?xml version="1.0" encoding="utf-8"?>
<formControlPr xmlns="http://schemas.microsoft.com/office/spreadsheetml/2009/9/main" objectType="CheckBox" fmlaLink="$M$22" lockText="1" noThreeD="1"/>
</file>

<file path=xl/ctrlProps/ctrlProp604.xml><?xml version="1.0" encoding="utf-8"?>
<formControlPr xmlns="http://schemas.microsoft.com/office/spreadsheetml/2009/9/main" objectType="CheckBox" fmlaLink="$M$23" lockText="1" noThreeD="1"/>
</file>

<file path=xl/ctrlProps/ctrlProp605.xml><?xml version="1.0" encoding="utf-8"?>
<formControlPr xmlns="http://schemas.microsoft.com/office/spreadsheetml/2009/9/main" objectType="CheckBox" fmlaLink="$M$24" lockText="1" noThreeD="1"/>
</file>

<file path=xl/ctrlProps/ctrlProp606.xml><?xml version="1.0" encoding="utf-8"?>
<formControlPr xmlns="http://schemas.microsoft.com/office/spreadsheetml/2009/9/main" objectType="CheckBox" fmlaLink="$M$27" lockText="1" noThreeD="1"/>
</file>

<file path=xl/ctrlProps/ctrlProp607.xml><?xml version="1.0" encoding="utf-8"?>
<formControlPr xmlns="http://schemas.microsoft.com/office/spreadsheetml/2009/9/main" objectType="CheckBox" fmlaLink="$K$34" lockText="1" noThreeD="1"/>
</file>

<file path=xl/ctrlProps/ctrlProp608.xml><?xml version="1.0" encoding="utf-8"?>
<formControlPr xmlns="http://schemas.microsoft.com/office/spreadsheetml/2009/9/main" objectType="CheckBox" fmlaLink="$K$35" lockText="1" noThreeD="1"/>
</file>

<file path=xl/ctrlProps/ctrlProp609.xml><?xml version="1.0" encoding="utf-8"?>
<formControlPr xmlns="http://schemas.microsoft.com/office/spreadsheetml/2009/9/main" objectType="CheckBox" fmlaLink="$K$28" lockText="1" noThreeD="1"/>
</file>

<file path=xl/ctrlProps/ctrlProp610.xml><?xml version="1.0" encoding="utf-8"?>
<formControlPr xmlns="http://schemas.microsoft.com/office/spreadsheetml/2009/9/main" objectType="CheckBox" fmlaLink="$K$29" lockText="1" noThreeD="1"/>
</file>

<file path=xl/ctrlProps/ctrlProp611.xml><?xml version="1.0" encoding="utf-8"?>
<formControlPr xmlns="http://schemas.microsoft.com/office/spreadsheetml/2009/9/main" objectType="CheckBox" fmlaLink="$K$30" lockText="1" noThreeD="1"/>
</file>

<file path=xl/ctrlProps/ctrlProp612.xml><?xml version="1.0" encoding="utf-8"?>
<formControlPr xmlns="http://schemas.microsoft.com/office/spreadsheetml/2009/9/main" objectType="CheckBox" fmlaLink="$K$31" lockText="1" noThreeD="1"/>
</file>

<file path=xl/ctrlProps/ctrlProp613.xml><?xml version="1.0" encoding="utf-8"?>
<formControlPr xmlns="http://schemas.microsoft.com/office/spreadsheetml/2009/9/main" objectType="CheckBox" fmlaLink="$K$32" lockText="1" noThreeD="1"/>
</file>

<file path=xl/ctrlProps/ctrlProp614.xml><?xml version="1.0" encoding="utf-8"?>
<formControlPr xmlns="http://schemas.microsoft.com/office/spreadsheetml/2009/9/main" objectType="CheckBox" fmlaLink="$K$33" lockText="1" noThreeD="1"/>
</file>

<file path=xl/ctrlProps/ctrlProp615.xml><?xml version="1.0" encoding="utf-8"?>
<formControlPr xmlns="http://schemas.microsoft.com/office/spreadsheetml/2009/9/main" objectType="CheckBox" fmlaLink="$K$36" lockText="1" noThreeD="1"/>
</file>

<file path=xl/ctrlProps/ctrlProp616.xml><?xml version="1.0" encoding="utf-8"?>
<formControlPr xmlns="http://schemas.microsoft.com/office/spreadsheetml/2009/9/main" objectType="CheckBox" fmlaLink="$K$25" lockText="1" noThreeD="1"/>
</file>

<file path=xl/ctrlProps/ctrlProp617.xml><?xml version="1.0" encoding="utf-8"?>
<formControlPr xmlns="http://schemas.microsoft.com/office/spreadsheetml/2009/9/main" objectType="CheckBox" fmlaLink="$K$26" lockText="1" noThreeD="1"/>
</file>

<file path=xl/ctrlProps/ctrlProp618.xml><?xml version="1.0" encoding="utf-8"?>
<formControlPr xmlns="http://schemas.microsoft.com/office/spreadsheetml/2009/9/main" objectType="CheckBox" fmlaLink="$K$19" lockText="1" noThreeD="1"/>
</file>

<file path=xl/ctrlProps/ctrlProp619.xml><?xml version="1.0" encoding="utf-8"?>
<formControlPr xmlns="http://schemas.microsoft.com/office/spreadsheetml/2009/9/main" objectType="CheckBox" fmlaLink="$K$20" lockText="1" noThreeD="1"/>
</file>

<file path=xl/ctrlProps/ctrlProp620.xml><?xml version="1.0" encoding="utf-8"?>
<formControlPr xmlns="http://schemas.microsoft.com/office/spreadsheetml/2009/9/main" objectType="CheckBox" fmlaLink="$K$21" lockText="1" noThreeD="1"/>
</file>

<file path=xl/ctrlProps/ctrlProp621.xml><?xml version="1.0" encoding="utf-8"?>
<formControlPr xmlns="http://schemas.microsoft.com/office/spreadsheetml/2009/9/main" objectType="CheckBox" fmlaLink="$K$22" lockText="1" noThreeD="1"/>
</file>

<file path=xl/ctrlProps/ctrlProp622.xml><?xml version="1.0" encoding="utf-8"?>
<formControlPr xmlns="http://schemas.microsoft.com/office/spreadsheetml/2009/9/main" objectType="CheckBox" fmlaLink="$K$23" lockText="1" noThreeD="1"/>
</file>

<file path=xl/ctrlProps/ctrlProp623.xml><?xml version="1.0" encoding="utf-8"?>
<formControlPr xmlns="http://schemas.microsoft.com/office/spreadsheetml/2009/9/main" objectType="CheckBox" fmlaLink="$K$24" lockText="1" noThreeD="1"/>
</file>

<file path=xl/ctrlProps/ctrlProp624.xml><?xml version="1.0" encoding="utf-8"?>
<formControlPr xmlns="http://schemas.microsoft.com/office/spreadsheetml/2009/9/main" objectType="CheckBox" fmlaLink="$K$27" lockText="1" noThreeD="1"/>
</file>

<file path=xl/ctrlProps/ctrlProp625.xml><?xml version="1.0" encoding="utf-8"?>
<formControlPr xmlns="http://schemas.microsoft.com/office/spreadsheetml/2009/9/main" objectType="CheckBox" fmlaLink="$O$19" lockText="1" noThreeD="1"/>
</file>

<file path=xl/ctrlProps/ctrlProp626.xml><?xml version="1.0" encoding="utf-8"?>
<formControlPr xmlns="http://schemas.microsoft.com/office/spreadsheetml/2009/9/main" objectType="CheckBox" fmlaLink="$O$21" lockText="1" noThreeD="1"/>
</file>

<file path=xl/ctrlProps/ctrlProp627.xml><?xml version="1.0" encoding="utf-8"?>
<formControlPr xmlns="http://schemas.microsoft.com/office/spreadsheetml/2009/9/main" objectType="CheckBox" fmlaLink="$O$22" lockText="1" noThreeD="1"/>
</file>

<file path=xl/ctrlProps/ctrlProp628.xml><?xml version="1.0" encoding="utf-8"?>
<formControlPr xmlns="http://schemas.microsoft.com/office/spreadsheetml/2009/9/main" objectType="CheckBox" checked="Checked" fmlaLink="$O$23" lockText="1" noThreeD="1"/>
</file>

<file path=xl/ctrlProps/ctrlProp629.xml><?xml version="1.0" encoding="utf-8"?>
<formControlPr xmlns="http://schemas.microsoft.com/office/spreadsheetml/2009/9/main" objectType="CheckBox" fmlaLink="$O$24" lockText="1" noThreeD="1"/>
</file>

<file path=xl/ctrlProps/ctrlProp630.xml><?xml version="1.0" encoding="utf-8"?>
<formControlPr xmlns="http://schemas.microsoft.com/office/spreadsheetml/2009/9/main" objectType="CheckBox" fmlaLink="$O$25" lockText="1" noThreeD="1"/>
</file>

<file path=xl/ctrlProps/ctrlProp631.xml><?xml version="1.0" encoding="utf-8"?>
<formControlPr xmlns="http://schemas.microsoft.com/office/spreadsheetml/2009/9/main" objectType="CheckBox" fmlaLink="$O$20" lockText="1" noThreeD="1"/>
</file>

<file path=xl/ctrlProps/ctrlProp632.xml><?xml version="1.0" encoding="utf-8"?>
<formControlPr xmlns="http://schemas.microsoft.com/office/spreadsheetml/2009/9/main" objectType="CheckBox" fmlaLink="$O$26" lockText="1" noThreeD="1"/>
</file>

<file path=xl/ctrlProps/ctrlProp633.xml><?xml version="1.0" encoding="utf-8"?>
<formControlPr xmlns="http://schemas.microsoft.com/office/spreadsheetml/2009/9/main" objectType="CheckBox" fmlaLink="$Q$19" lockText="1" noThreeD="1"/>
</file>

<file path=xl/ctrlProps/ctrlProp634.xml><?xml version="1.0" encoding="utf-8"?>
<formControlPr xmlns="http://schemas.microsoft.com/office/spreadsheetml/2009/9/main" objectType="CheckBox" fmlaLink="$Q$20" lockText="1" noThreeD="1"/>
</file>

<file path=xl/ctrlProps/ctrlProp635.xml><?xml version="1.0" encoding="utf-8"?>
<formControlPr xmlns="http://schemas.microsoft.com/office/spreadsheetml/2009/9/main" objectType="CheckBox" checked="Checked" fmlaLink="$S$19" lockText="1" noThreeD="1"/>
</file>

<file path=xl/ctrlProps/ctrlProp636.xml><?xml version="1.0" encoding="utf-8"?>
<formControlPr xmlns="http://schemas.microsoft.com/office/spreadsheetml/2009/9/main" objectType="CheckBox" fmlaLink="$S$20" lockText="1" noThreeD="1"/>
</file>

<file path=xl/ctrlProps/ctrlProp637.xml><?xml version="1.0" encoding="utf-8"?>
<formControlPr xmlns="http://schemas.microsoft.com/office/spreadsheetml/2009/9/main" objectType="CheckBox" fmlaLink="$S$21" lockText="1" noThreeD="1"/>
</file>

<file path=xl/ctrlProps/ctrlProp638.xml><?xml version="1.0" encoding="utf-8"?>
<formControlPr xmlns="http://schemas.microsoft.com/office/spreadsheetml/2009/9/main" objectType="CheckBox" fmlaLink="$S$22" lockText="1" noThreeD="1"/>
</file>

<file path=xl/ctrlProps/ctrlProp639.xml><?xml version="1.0" encoding="utf-8"?>
<formControlPr xmlns="http://schemas.microsoft.com/office/spreadsheetml/2009/9/main" objectType="CheckBox" fmlaLink="$M$34" lockText="1" noThreeD="1"/>
</file>

<file path=xl/ctrlProps/ctrlProp640.xml><?xml version="1.0" encoding="utf-8"?>
<formControlPr xmlns="http://schemas.microsoft.com/office/spreadsheetml/2009/9/main" objectType="CheckBox" fmlaLink="$M$35" lockText="1" noThreeD="1"/>
</file>

<file path=xl/ctrlProps/ctrlProp641.xml><?xml version="1.0" encoding="utf-8"?>
<formControlPr xmlns="http://schemas.microsoft.com/office/spreadsheetml/2009/9/main" objectType="CheckBox" fmlaLink="$M$28" lockText="1" noThreeD="1"/>
</file>

<file path=xl/ctrlProps/ctrlProp642.xml><?xml version="1.0" encoding="utf-8"?>
<formControlPr xmlns="http://schemas.microsoft.com/office/spreadsheetml/2009/9/main" objectType="CheckBox" fmlaLink="$M$29" lockText="1" noThreeD="1"/>
</file>

<file path=xl/ctrlProps/ctrlProp643.xml><?xml version="1.0" encoding="utf-8"?>
<formControlPr xmlns="http://schemas.microsoft.com/office/spreadsheetml/2009/9/main" objectType="CheckBox" fmlaLink="$M$30" lockText="1" noThreeD="1"/>
</file>

<file path=xl/ctrlProps/ctrlProp644.xml><?xml version="1.0" encoding="utf-8"?>
<formControlPr xmlns="http://schemas.microsoft.com/office/spreadsheetml/2009/9/main" objectType="CheckBox" fmlaLink="$M$31" lockText="1" noThreeD="1"/>
</file>

<file path=xl/ctrlProps/ctrlProp645.xml><?xml version="1.0" encoding="utf-8"?>
<formControlPr xmlns="http://schemas.microsoft.com/office/spreadsheetml/2009/9/main" objectType="CheckBox" fmlaLink="$M$32" lockText="1" noThreeD="1"/>
</file>

<file path=xl/ctrlProps/ctrlProp646.xml><?xml version="1.0" encoding="utf-8"?>
<formControlPr xmlns="http://schemas.microsoft.com/office/spreadsheetml/2009/9/main" objectType="CheckBox" fmlaLink="$M$33" lockText="1" noThreeD="1"/>
</file>

<file path=xl/ctrlProps/ctrlProp647.xml><?xml version="1.0" encoding="utf-8"?>
<formControlPr xmlns="http://schemas.microsoft.com/office/spreadsheetml/2009/9/main" objectType="CheckBox" fmlaLink="$M$36" lockText="1" noThreeD="1"/>
</file>

<file path=xl/ctrlProps/ctrlProp648.xml><?xml version="1.0" encoding="utf-8"?>
<formControlPr xmlns="http://schemas.microsoft.com/office/spreadsheetml/2009/9/main" objectType="CheckBox" fmlaLink="$Q$21" lockText="1" noThreeD="1"/>
</file>

<file path=xl/ctrlProps/ctrlProp649.xml><?xml version="1.0" encoding="utf-8"?>
<formControlPr xmlns="http://schemas.microsoft.com/office/spreadsheetml/2009/9/main" objectType="CheckBox" checked="Checked" fmlaLink="$Q$22" lockText="1" noThreeD="1"/>
</file>

<file path=xl/ctrlProps/ctrlProp650.xml><?xml version="1.0" encoding="utf-8"?>
<formControlPr xmlns="http://schemas.microsoft.com/office/spreadsheetml/2009/9/main" objectType="CheckBox" checked="Checked" fmlaLink="$M$25" lockText="1" noThreeD="1"/>
</file>

<file path=xl/ctrlProps/ctrlProp651.xml><?xml version="1.0" encoding="utf-8"?>
<formControlPr xmlns="http://schemas.microsoft.com/office/spreadsheetml/2009/9/main" objectType="CheckBox" fmlaLink="$M$26" lockText="1" noThreeD="1"/>
</file>

<file path=xl/ctrlProps/ctrlProp652.xml><?xml version="1.0" encoding="utf-8"?>
<formControlPr xmlns="http://schemas.microsoft.com/office/spreadsheetml/2009/9/main" objectType="CheckBox" fmlaLink="$M$19" lockText="1" noThreeD="1"/>
</file>

<file path=xl/ctrlProps/ctrlProp653.xml><?xml version="1.0" encoding="utf-8"?>
<formControlPr xmlns="http://schemas.microsoft.com/office/spreadsheetml/2009/9/main" objectType="CheckBox" fmlaLink="$M$20" lockText="1" noThreeD="1"/>
</file>

<file path=xl/ctrlProps/ctrlProp654.xml><?xml version="1.0" encoding="utf-8"?>
<formControlPr xmlns="http://schemas.microsoft.com/office/spreadsheetml/2009/9/main" objectType="CheckBox" fmlaLink="$M$21" lockText="1" noThreeD="1"/>
</file>

<file path=xl/ctrlProps/ctrlProp655.xml><?xml version="1.0" encoding="utf-8"?>
<formControlPr xmlns="http://schemas.microsoft.com/office/spreadsheetml/2009/9/main" objectType="CheckBox" fmlaLink="$M$22" lockText="1" noThreeD="1"/>
</file>

<file path=xl/ctrlProps/ctrlProp656.xml><?xml version="1.0" encoding="utf-8"?>
<formControlPr xmlns="http://schemas.microsoft.com/office/spreadsheetml/2009/9/main" objectType="CheckBox" fmlaLink="$M$23" lockText="1" noThreeD="1"/>
</file>

<file path=xl/ctrlProps/ctrlProp657.xml><?xml version="1.0" encoding="utf-8"?>
<formControlPr xmlns="http://schemas.microsoft.com/office/spreadsheetml/2009/9/main" objectType="CheckBox" fmlaLink="$M$24" lockText="1" noThreeD="1"/>
</file>

<file path=xl/ctrlProps/ctrlProp658.xml><?xml version="1.0" encoding="utf-8"?>
<formControlPr xmlns="http://schemas.microsoft.com/office/spreadsheetml/2009/9/main" objectType="CheckBox" fmlaLink="$M$27" lockText="1" noThreeD="1"/>
</file>

<file path=xl/ctrlProps/ctrlProp659.xml><?xml version="1.0" encoding="utf-8"?>
<formControlPr xmlns="http://schemas.microsoft.com/office/spreadsheetml/2009/9/main" objectType="CheckBox" fmlaLink="$K$34" lockText="1" noThreeD="1"/>
</file>

<file path=xl/ctrlProps/ctrlProp660.xml><?xml version="1.0" encoding="utf-8"?>
<formControlPr xmlns="http://schemas.microsoft.com/office/spreadsheetml/2009/9/main" objectType="CheckBox" fmlaLink="$K$35" lockText="1" noThreeD="1"/>
</file>

<file path=xl/ctrlProps/ctrlProp661.xml><?xml version="1.0" encoding="utf-8"?>
<formControlPr xmlns="http://schemas.microsoft.com/office/spreadsheetml/2009/9/main" objectType="CheckBox" fmlaLink="$K$28" lockText="1" noThreeD="1"/>
</file>

<file path=xl/ctrlProps/ctrlProp662.xml><?xml version="1.0" encoding="utf-8"?>
<formControlPr xmlns="http://schemas.microsoft.com/office/spreadsheetml/2009/9/main" objectType="CheckBox" fmlaLink="$K$29" lockText="1" noThreeD="1"/>
</file>

<file path=xl/ctrlProps/ctrlProp663.xml><?xml version="1.0" encoding="utf-8"?>
<formControlPr xmlns="http://schemas.microsoft.com/office/spreadsheetml/2009/9/main" objectType="CheckBox" fmlaLink="$K$30" lockText="1" noThreeD="1"/>
</file>

<file path=xl/ctrlProps/ctrlProp664.xml><?xml version="1.0" encoding="utf-8"?>
<formControlPr xmlns="http://schemas.microsoft.com/office/spreadsheetml/2009/9/main" objectType="CheckBox" fmlaLink="$K$31" lockText="1" noThreeD="1"/>
</file>

<file path=xl/ctrlProps/ctrlProp665.xml><?xml version="1.0" encoding="utf-8"?>
<formControlPr xmlns="http://schemas.microsoft.com/office/spreadsheetml/2009/9/main" objectType="CheckBox" fmlaLink="$K$32" lockText="1" noThreeD="1"/>
</file>

<file path=xl/ctrlProps/ctrlProp666.xml><?xml version="1.0" encoding="utf-8"?>
<formControlPr xmlns="http://schemas.microsoft.com/office/spreadsheetml/2009/9/main" objectType="CheckBox" fmlaLink="$K$33" lockText="1" noThreeD="1"/>
</file>

<file path=xl/ctrlProps/ctrlProp667.xml><?xml version="1.0" encoding="utf-8"?>
<formControlPr xmlns="http://schemas.microsoft.com/office/spreadsheetml/2009/9/main" objectType="CheckBox" checked="Checked" fmlaLink="$K$36" lockText="1" noThreeD="1"/>
</file>

<file path=xl/ctrlProps/ctrlProp668.xml><?xml version="1.0" encoding="utf-8"?>
<formControlPr xmlns="http://schemas.microsoft.com/office/spreadsheetml/2009/9/main" objectType="CheckBox" fmlaLink="$K$25" lockText="1" noThreeD="1"/>
</file>

<file path=xl/ctrlProps/ctrlProp669.xml><?xml version="1.0" encoding="utf-8"?>
<formControlPr xmlns="http://schemas.microsoft.com/office/spreadsheetml/2009/9/main" objectType="CheckBox" fmlaLink="$K$26" lockText="1" noThreeD="1"/>
</file>

<file path=xl/ctrlProps/ctrlProp670.xml><?xml version="1.0" encoding="utf-8"?>
<formControlPr xmlns="http://schemas.microsoft.com/office/spreadsheetml/2009/9/main" objectType="CheckBox" fmlaLink="$K$19" lockText="1" noThreeD="1"/>
</file>

<file path=xl/ctrlProps/ctrlProp671.xml><?xml version="1.0" encoding="utf-8"?>
<formControlPr xmlns="http://schemas.microsoft.com/office/spreadsheetml/2009/9/main" objectType="CheckBox" fmlaLink="$K$20" lockText="1" noThreeD="1"/>
</file>

<file path=xl/ctrlProps/ctrlProp672.xml><?xml version="1.0" encoding="utf-8"?>
<formControlPr xmlns="http://schemas.microsoft.com/office/spreadsheetml/2009/9/main" objectType="CheckBox" fmlaLink="$K$21" lockText="1" noThreeD="1"/>
</file>

<file path=xl/ctrlProps/ctrlProp673.xml><?xml version="1.0" encoding="utf-8"?>
<formControlPr xmlns="http://schemas.microsoft.com/office/spreadsheetml/2009/9/main" objectType="CheckBox" fmlaLink="$K$22" lockText="1" noThreeD="1"/>
</file>

<file path=xl/ctrlProps/ctrlProp674.xml><?xml version="1.0" encoding="utf-8"?>
<formControlPr xmlns="http://schemas.microsoft.com/office/spreadsheetml/2009/9/main" objectType="CheckBox" fmlaLink="$K$23" lockText="1" noThreeD="1"/>
</file>

<file path=xl/ctrlProps/ctrlProp675.xml><?xml version="1.0" encoding="utf-8"?>
<formControlPr xmlns="http://schemas.microsoft.com/office/spreadsheetml/2009/9/main" objectType="CheckBox" fmlaLink="$K$24" lockText="1" noThreeD="1"/>
</file>

<file path=xl/ctrlProps/ctrlProp676.xml><?xml version="1.0" encoding="utf-8"?>
<formControlPr xmlns="http://schemas.microsoft.com/office/spreadsheetml/2009/9/main" objectType="CheckBox" fmlaLink="$K$27" lockText="1" noThreeD="1"/>
</file>

<file path=xl/ctrlProps/ctrlProp677.xml><?xml version="1.0" encoding="utf-8"?>
<formControlPr xmlns="http://schemas.microsoft.com/office/spreadsheetml/2009/9/main" objectType="CheckBox" fmlaLink="$O$19" lockText="1" noThreeD="1"/>
</file>

<file path=xl/ctrlProps/ctrlProp678.xml><?xml version="1.0" encoding="utf-8"?>
<formControlPr xmlns="http://schemas.microsoft.com/office/spreadsheetml/2009/9/main" objectType="CheckBox" fmlaLink="$O$21" lockText="1" noThreeD="1"/>
</file>

<file path=xl/ctrlProps/ctrlProp679.xml><?xml version="1.0" encoding="utf-8"?>
<formControlPr xmlns="http://schemas.microsoft.com/office/spreadsheetml/2009/9/main" objectType="CheckBox" fmlaLink="$O$22" lockText="1" noThreeD="1"/>
</file>

<file path=xl/ctrlProps/ctrlProp680.xml><?xml version="1.0" encoding="utf-8"?>
<formControlPr xmlns="http://schemas.microsoft.com/office/spreadsheetml/2009/9/main" objectType="CheckBox" fmlaLink="$O$23" lockText="1" noThreeD="1"/>
</file>

<file path=xl/ctrlProps/ctrlProp681.xml><?xml version="1.0" encoding="utf-8"?>
<formControlPr xmlns="http://schemas.microsoft.com/office/spreadsheetml/2009/9/main" objectType="CheckBox" fmlaLink="$O$24" lockText="1" noThreeD="1"/>
</file>

<file path=xl/ctrlProps/ctrlProp682.xml><?xml version="1.0" encoding="utf-8"?>
<formControlPr xmlns="http://schemas.microsoft.com/office/spreadsheetml/2009/9/main" objectType="CheckBox" fmlaLink="$O$25" lockText="1" noThreeD="1"/>
</file>

<file path=xl/ctrlProps/ctrlProp683.xml><?xml version="1.0" encoding="utf-8"?>
<formControlPr xmlns="http://schemas.microsoft.com/office/spreadsheetml/2009/9/main" objectType="CheckBox" fmlaLink="$O$20" lockText="1" noThreeD="1"/>
</file>

<file path=xl/ctrlProps/ctrlProp684.xml><?xml version="1.0" encoding="utf-8"?>
<formControlPr xmlns="http://schemas.microsoft.com/office/spreadsheetml/2009/9/main" objectType="CheckBox" checked="Checked" fmlaLink="$O$26" lockText="1" noThreeD="1"/>
</file>

<file path=xl/ctrlProps/ctrlProp685.xml><?xml version="1.0" encoding="utf-8"?>
<formControlPr xmlns="http://schemas.microsoft.com/office/spreadsheetml/2009/9/main" objectType="CheckBox" fmlaLink="$Q$19" lockText="1" noThreeD="1"/>
</file>

<file path=xl/ctrlProps/ctrlProp686.xml><?xml version="1.0" encoding="utf-8"?>
<formControlPr xmlns="http://schemas.microsoft.com/office/spreadsheetml/2009/9/main" objectType="CheckBox" fmlaLink="$Q$20" lockText="1" noThreeD="1"/>
</file>

<file path=xl/ctrlProps/ctrlProp687.xml><?xml version="1.0" encoding="utf-8"?>
<formControlPr xmlns="http://schemas.microsoft.com/office/spreadsheetml/2009/9/main" objectType="CheckBox" checked="Checked" fmlaLink="$S$19" lockText="1" noThreeD="1"/>
</file>

<file path=xl/ctrlProps/ctrlProp688.xml><?xml version="1.0" encoding="utf-8"?>
<formControlPr xmlns="http://schemas.microsoft.com/office/spreadsheetml/2009/9/main" objectType="CheckBox" fmlaLink="$S$20" lockText="1" noThreeD="1"/>
</file>

<file path=xl/ctrlProps/ctrlProp689.xml><?xml version="1.0" encoding="utf-8"?>
<formControlPr xmlns="http://schemas.microsoft.com/office/spreadsheetml/2009/9/main" objectType="CheckBox" fmlaLink="$S$21" lockText="1" noThreeD="1"/>
</file>

<file path=xl/ctrlProps/ctrlProp690.xml><?xml version="1.0" encoding="utf-8"?>
<formControlPr xmlns="http://schemas.microsoft.com/office/spreadsheetml/2009/9/main" objectType="CheckBox" fmlaLink="$S$22" lockText="1" noThreeD="1"/>
</file>

<file path=xl/ctrlProps/ctrlProp691.xml><?xml version="1.0" encoding="utf-8"?>
<formControlPr xmlns="http://schemas.microsoft.com/office/spreadsheetml/2009/9/main" objectType="CheckBox" fmlaLink="$M$34" lockText="1" noThreeD="1"/>
</file>

<file path=xl/ctrlProps/ctrlProp692.xml><?xml version="1.0" encoding="utf-8"?>
<formControlPr xmlns="http://schemas.microsoft.com/office/spreadsheetml/2009/9/main" objectType="CheckBox" fmlaLink="$M$35" lockText="1" noThreeD="1"/>
</file>

<file path=xl/ctrlProps/ctrlProp693.xml><?xml version="1.0" encoding="utf-8"?>
<formControlPr xmlns="http://schemas.microsoft.com/office/spreadsheetml/2009/9/main" objectType="CheckBox" fmlaLink="$M$28" lockText="1" noThreeD="1"/>
</file>

<file path=xl/ctrlProps/ctrlProp694.xml><?xml version="1.0" encoding="utf-8"?>
<formControlPr xmlns="http://schemas.microsoft.com/office/spreadsheetml/2009/9/main" objectType="CheckBox" fmlaLink="$M$29" lockText="1" noThreeD="1"/>
</file>

<file path=xl/ctrlProps/ctrlProp695.xml><?xml version="1.0" encoding="utf-8"?>
<formControlPr xmlns="http://schemas.microsoft.com/office/spreadsheetml/2009/9/main" objectType="CheckBox" fmlaLink="$M$30" lockText="1" noThreeD="1"/>
</file>

<file path=xl/ctrlProps/ctrlProp696.xml><?xml version="1.0" encoding="utf-8"?>
<formControlPr xmlns="http://schemas.microsoft.com/office/spreadsheetml/2009/9/main" objectType="CheckBox" checked="Checked" fmlaLink="$M$31" lockText="1" noThreeD="1"/>
</file>

<file path=xl/ctrlProps/ctrlProp697.xml><?xml version="1.0" encoding="utf-8"?>
<formControlPr xmlns="http://schemas.microsoft.com/office/spreadsheetml/2009/9/main" objectType="CheckBox" fmlaLink="$M$32" lockText="1" noThreeD="1"/>
</file>

<file path=xl/ctrlProps/ctrlProp698.xml><?xml version="1.0" encoding="utf-8"?>
<formControlPr xmlns="http://schemas.microsoft.com/office/spreadsheetml/2009/9/main" objectType="CheckBox" fmlaLink="$M$33" lockText="1" noThreeD="1"/>
</file>

<file path=xl/ctrlProps/ctrlProp699.xml><?xml version="1.0" encoding="utf-8"?>
<formControlPr xmlns="http://schemas.microsoft.com/office/spreadsheetml/2009/9/main" objectType="CheckBox" fmlaLink="$M$36" lockText="1" noThreeD="1"/>
</file>

<file path=xl/ctrlProps/ctrlProp700.xml><?xml version="1.0" encoding="utf-8"?>
<formControlPr xmlns="http://schemas.microsoft.com/office/spreadsheetml/2009/9/main" objectType="CheckBox" checked="Checked" fmlaLink="$Q$21" lockText="1" noThreeD="1"/>
</file>

<file path=xl/ctrlProps/ctrlProp701.xml><?xml version="1.0" encoding="utf-8"?>
<formControlPr xmlns="http://schemas.microsoft.com/office/spreadsheetml/2009/9/main" objectType="CheckBox" fmlaLink="$Q$22" lockText="1" noThreeD="1"/>
</file>

<file path=xl/ctrlProps/ctrlProp702.xml><?xml version="1.0" encoding="utf-8"?>
<formControlPr xmlns="http://schemas.microsoft.com/office/spreadsheetml/2009/9/main" objectType="CheckBox" fmlaLink="$M$25" lockText="1" noThreeD="1"/>
</file>

<file path=xl/ctrlProps/ctrlProp703.xml><?xml version="1.0" encoding="utf-8"?>
<formControlPr xmlns="http://schemas.microsoft.com/office/spreadsheetml/2009/9/main" objectType="CheckBox" fmlaLink="$M$26" lockText="1" noThreeD="1"/>
</file>

<file path=xl/ctrlProps/ctrlProp704.xml><?xml version="1.0" encoding="utf-8"?>
<formControlPr xmlns="http://schemas.microsoft.com/office/spreadsheetml/2009/9/main" objectType="CheckBox" fmlaLink="$M$19" lockText="1" noThreeD="1"/>
</file>

<file path=xl/ctrlProps/ctrlProp705.xml><?xml version="1.0" encoding="utf-8"?>
<formControlPr xmlns="http://schemas.microsoft.com/office/spreadsheetml/2009/9/main" objectType="CheckBox" fmlaLink="$M$20" lockText="1" noThreeD="1"/>
</file>

<file path=xl/ctrlProps/ctrlProp706.xml><?xml version="1.0" encoding="utf-8"?>
<formControlPr xmlns="http://schemas.microsoft.com/office/spreadsheetml/2009/9/main" objectType="CheckBox" fmlaLink="$M$21" lockText="1" noThreeD="1"/>
</file>

<file path=xl/ctrlProps/ctrlProp707.xml><?xml version="1.0" encoding="utf-8"?>
<formControlPr xmlns="http://schemas.microsoft.com/office/spreadsheetml/2009/9/main" objectType="CheckBox" fmlaLink="$M$22" lockText="1" noThreeD="1"/>
</file>

<file path=xl/ctrlProps/ctrlProp708.xml><?xml version="1.0" encoding="utf-8"?>
<formControlPr xmlns="http://schemas.microsoft.com/office/spreadsheetml/2009/9/main" objectType="CheckBox" fmlaLink="$M$23" lockText="1" noThreeD="1"/>
</file>

<file path=xl/ctrlProps/ctrlProp709.xml><?xml version="1.0" encoding="utf-8"?>
<formControlPr xmlns="http://schemas.microsoft.com/office/spreadsheetml/2009/9/main" objectType="CheckBox" fmlaLink="$M$24" lockText="1" noThreeD="1"/>
</file>

<file path=xl/ctrlProps/ctrlProp710.xml><?xml version="1.0" encoding="utf-8"?>
<formControlPr xmlns="http://schemas.microsoft.com/office/spreadsheetml/2009/9/main" objectType="CheckBox" fmlaLink="$M$27" lockText="1" noThreeD="1"/>
</file>

<file path=xl/ctrlProps/ctrlProp711.xml><?xml version="1.0" encoding="utf-8"?>
<formControlPr xmlns="http://schemas.microsoft.com/office/spreadsheetml/2009/9/main" objectType="CheckBox" fmlaLink="$K$34" lockText="1" noThreeD="1"/>
</file>

<file path=xl/ctrlProps/ctrlProp712.xml><?xml version="1.0" encoding="utf-8"?>
<formControlPr xmlns="http://schemas.microsoft.com/office/spreadsheetml/2009/9/main" objectType="CheckBox" fmlaLink="$K$35" lockText="1" noThreeD="1"/>
</file>

<file path=xl/ctrlProps/ctrlProp713.xml><?xml version="1.0" encoding="utf-8"?>
<formControlPr xmlns="http://schemas.microsoft.com/office/spreadsheetml/2009/9/main" objectType="CheckBox" fmlaLink="$K$28" lockText="1" noThreeD="1"/>
</file>

<file path=xl/ctrlProps/ctrlProp714.xml><?xml version="1.0" encoding="utf-8"?>
<formControlPr xmlns="http://schemas.microsoft.com/office/spreadsheetml/2009/9/main" objectType="CheckBox" fmlaLink="$K$29" lockText="1" noThreeD="1"/>
</file>

<file path=xl/ctrlProps/ctrlProp715.xml><?xml version="1.0" encoding="utf-8"?>
<formControlPr xmlns="http://schemas.microsoft.com/office/spreadsheetml/2009/9/main" objectType="CheckBox" fmlaLink="$K$30" lockText="1" noThreeD="1"/>
</file>

<file path=xl/ctrlProps/ctrlProp716.xml><?xml version="1.0" encoding="utf-8"?>
<formControlPr xmlns="http://schemas.microsoft.com/office/spreadsheetml/2009/9/main" objectType="CheckBox" fmlaLink="$K$31" lockText="1" noThreeD="1"/>
</file>

<file path=xl/ctrlProps/ctrlProp717.xml><?xml version="1.0" encoding="utf-8"?>
<formControlPr xmlns="http://schemas.microsoft.com/office/spreadsheetml/2009/9/main" objectType="CheckBox" fmlaLink="$K$32" lockText="1" noThreeD="1"/>
</file>

<file path=xl/ctrlProps/ctrlProp718.xml><?xml version="1.0" encoding="utf-8"?>
<formControlPr xmlns="http://schemas.microsoft.com/office/spreadsheetml/2009/9/main" objectType="CheckBox" fmlaLink="$K$33" lockText="1" noThreeD="1"/>
</file>

<file path=xl/ctrlProps/ctrlProp719.xml><?xml version="1.0" encoding="utf-8"?>
<formControlPr xmlns="http://schemas.microsoft.com/office/spreadsheetml/2009/9/main" objectType="CheckBox" fmlaLink="$K$36" lockText="1" noThreeD="1"/>
</file>

<file path=xl/ctrlProps/ctrlProp720.xml><?xml version="1.0" encoding="utf-8"?>
<formControlPr xmlns="http://schemas.microsoft.com/office/spreadsheetml/2009/9/main" objectType="CheckBox" fmlaLink="$K$25" lockText="1" noThreeD="1"/>
</file>

<file path=xl/ctrlProps/ctrlProp721.xml><?xml version="1.0" encoding="utf-8"?>
<formControlPr xmlns="http://schemas.microsoft.com/office/spreadsheetml/2009/9/main" objectType="CheckBox" fmlaLink="$K$26" lockText="1" noThreeD="1"/>
</file>

<file path=xl/ctrlProps/ctrlProp722.xml><?xml version="1.0" encoding="utf-8"?>
<formControlPr xmlns="http://schemas.microsoft.com/office/spreadsheetml/2009/9/main" objectType="CheckBox" fmlaLink="$K$19" lockText="1" noThreeD="1"/>
</file>

<file path=xl/ctrlProps/ctrlProp723.xml><?xml version="1.0" encoding="utf-8"?>
<formControlPr xmlns="http://schemas.microsoft.com/office/spreadsheetml/2009/9/main" objectType="CheckBox" fmlaLink="$K$20" lockText="1" noThreeD="1"/>
</file>

<file path=xl/ctrlProps/ctrlProp724.xml><?xml version="1.0" encoding="utf-8"?>
<formControlPr xmlns="http://schemas.microsoft.com/office/spreadsheetml/2009/9/main" objectType="CheckBox" fmlaLink="$K$21" lockText="1" noThreeD="1"/>
</file>

<file path=xl/ctrlProps/ctrlProp725.xml><?xml version="1.0" encoding="utf-8"?>
<formControlPr xmlns="http://schemas.microsoft.com/office/spreadsheetml/2009/9/main" objectType="CheckBox" fmlaLink="$K$22" lockText="1" noThreeD="1"/>
</file>

<file path=xl/ctrlProps/ctrlProp726.xml><?xml version="1.0" encoding="utf-8"?>
<formControlPr xmlns="http://schemas.microsoft.com/office/spreadsheetml/2009/9/main" objectType="CheckBox" fmlaLink="$K$23" lockText="1" noThreeD="1"/>
</file>

<file path=xl/ctrlProps/ctrlProp727.xml><?xml version="1.0" encoding="utf-8"?>
<formControlPr xmlns="http://schemas.microsoft.com/office/spreadsheetml/2009/9/main" objectType="CheckBox" checked="Checked" fmlaLink="$K$24" lockText="1" noThreeD="1"/>
</file>

<file path=xl/ctrlProps/ctrlProp728.xml><?xml version="1.0" encoding="utf-8"?>
<formControlPr xmlns="http://schemas.microsoft.com/office/spreadsheetml/2009/9/main" objectType="CheckBox" fmlaLink="$K$27" lockText="1" noThreeD="1"/>
</file>

<file path=xl/ctrlProps/ctrlProp729.xml><?xml version="1.0" encoding="utf-8"?>
<formControlPr xmlns="http://schemas.microsoft.com/office/spreadsheetml/2009/9/main" objectType="CheckBox" fmlaLink="$O$19" lockText="1" noThreeD="1"/>
</file>

<file path=xl/ctrlProps/ctrlProp730.xml><?xml version="1.0" encoding="utf-8"?>
<formControlPr xmlns="http://schemas.microsoft.com/office/spreadsheetml/2009/9/main" objectType="CheckBox" fmlaLink="$O$21" lockText="1" noThreeD="1"/>
</file>

<file path=xl/ctrlProps/ctrlProp731.xml><?xml version="1.0" encoding="utf-8"?>
<formControlPr xmlns="http://schemas.microsoft.com/office/spreadsheetml/2009/9/main" objectType="CheckBox" fmlaLink="$O$22" lockText="1" noThreeD="1"/>
</file>

<file path=xl/ctrlProps/ctrlProp732.xml><?xml version="1.0" encoding="utf-8"?>
<formControlPr xmlns="http://schemas.microsoft.com/office/spreadsheetml/2009/9/main" objectType="CheckBox" fmlaLink="$O$23" lockText="1" noThreeD="1"/>
</file>

<file path=xl/ctrlProps/ctrlProp733.xml><?xml version="1.0" encoding="utf-8"?>
<formControlPr xmlns="http://schemas.microsoft.com/office/spreadsheetml/2009/9/main" objectType="CheckBox" fmlaLink="$O$24" lockText="1" noThreeD="1"/>
</file>

<file path=xl/ctrlProps/ctrlProp734.xml><?xml version="1.0" encoding="utf-8"?>
<formControlPr xmlns="http://schemas.microsoft.com/office/spreadsheetml/2009/9/main" objectType="CheckBox" fmlaLink="$O$25" lockText="1" noThreeD="1"/>
</file>

<file path=xl/ctrlProps/ctrlProp735.xml><?xml version="1.0" encoding="utf-8"?>
<formControlPr xmlns="http://schemas.microsoft.com/office/spreadsheetml/2009/9/main" objectType="CheckBox" fmlaLink="$O$20" lockText="1" noThreeD="1"/>
</file>

<file path=xl/ctrlProps/ctrlProp736.xml><?xml version="1.0" encoding="utf-8"?>
<formControlPr xmlns="http://schemas.microsoft.com/office/spreadsheetml/2009/9/main" objectType="CheckBox" checked="Checked" fmlaLink="$O$26" lockText="1" noThreeD="1"/>
</file>

<file path=xl/ctrlProps/ctrlProp737.xml><?xml version="1.0" encoding="utf-8"?>
<formControlPr xmlns="http://schemas.microsoft.com/office/spreadsheetml/2009/9/main" objectType="CheckBox" checked="Checked" fmlaLink="$Q$19" lockText="1" noThreeD="1"/>
</file>

<file path=xl/ctrlProps/ctrlProp738.xml><?xml version="1.0" encoding="utf-8"?>
<formControlPr xmlns="http://schemas.microsoft.com/office/spreadsheetml/2009/9/main" objectType="CheckBox" fmlaLink="$Q$20" lockText="1" noThreeD="1"/>
</file>

<file path=xl/ctrlProps/ctrlProp739.xml><?xml version="1.0" encoding="utf-8"?>
<formControlPr xmlns="http://schemas.microsoft.com/office/spreadsheetml/2009/9/main" objectType="CheckBox" checked="Checked" fmlaLink="$S$19" lockText="1" noThreeD="1"/>
</file>

<file path=xl/ctrlProps/ctrlProp740.xml><?xml version="1.0" encoding="utf-8"?>
<formControlPr xmlns="http://schemas.microsoft.com/office/spreadsheetml/2009/9/main" objectType="CheckBox" fmlaLink="$S$20" lockText="1" noThreeD="1"/>
</file>

<file path=xl/ctrlProps/ctrlProp741.xml><?xml version="1.0" encoding="utf-8"?>
<formControlPr xmlns="http://schemas.microsoft.com/office/spreadsheetml/2009/9/main" objectType="CheckBox" fmlaLink="$S$21" lockText="1" noThreeD="1"/>
</file>

<file path=xl/ctrlProps/ctrlProp742.xml><?xml version="1.0" encoding="utf-8"?>
<formControlPr xmlns="http://schemas.microsoft.com/office/spreadsheetml/2009/9/main" objectType="CheckBox" fmlaLink="$S$22" lockText="1" noThreeD="1"/>
</file>

<file path=xl/ctrlProps/ctrlProp743.xml><?xml version="1.0" encoding="utf-8"?>
<formControlPr xmlns="http://schemas.microsoft.com/office/spreadsheetml/2009/9/main" objectType="CheckBox" fmlaLink="$M$34" lockText="1" noThreeD="1"/>
</file>

<file path=xl/ctrlProps/ctrlProp744.xml><?xml version="1.0" encoding="utf-8"?>
<formControlPr xmlns="http://schemas.microsoft.com/office/spreadsheetml/2009/9/main" objectType="CheckBox" fmlaLink="$M$35" lockText="1" noThreeD="1"/>
</file>

<file path=xl/ctrlProps/ctrlProp745.xml><?xml version="1.0" encoding="utf-8"?>
<formControlPr xmlns="http://schemas.microsoft.com/office/spreadsheetml/2009/9/main" objectType="CheckBox" fmlaLink="$M$28" lockText="1" noThreeD="1"/>
</file>

<file path=xl/ctrlProps/ctrlProp746.xml><?xml version="1.0" encoding="utf-8"?>
<formControlPr xmlns="http://schemas.microsoft.com/office/spreadsheetml/2009/9/main" objectType="CheckBox" fmlaLink="$M$29" lockText="1" noThreeD="1"/>
</file>

<file path=xl/ctrlProps/ctrlProp747.xml><?xml version="1.0" encoding="utf-8"?>
<formControlPr xmlns="http://schemas.microsoft.com/office/spreadsheetml/2009/9/main" objectType="CheckBox" fmlaLink="$M$30" lockText="1" noThreeD="1"/>
</file>

<file path=xl/ctrlProps/ctrlProp748.xml><?xml version="1.0" encoding="utf-8"?>
<formControlPr xmlns="http://schemas.microsoft.com/office/spreadsheetml/2009/9/main" objectType="CheckBox" fmlaLink="$M$31" lockText="1" noThreeD="1"/>
</file>

<file path=xl/ctrlProps/ctrlProp749.xml><?xml version="1.0" encoding="utf-8"?>
<formControlPr xmlns="http://schemas.microsoft.com/office/spreadsheetml/2009/9/main" objectType="CheckBox" fmlaLink="$M$32" lockText="1" noThreeD="1"/>
</file>

<file path=xl/ctrlProps/ctrlProp750.xml><?xml version="1.0" encoding="utf-8"?>
<formControlPr xmlns="http://schemas.microsoft.com/office/spreadsheetml/2009/9/main" objectType="CheckBox" fmlaLink="$M$33" lockText="1" noThreeD="1"/>
</file>

<file path=xl/ctrlProps/ctrlProp751.xml><?xml version="1.0" encoding="utf-8"?>
<formControlPr xmlns="http://schemas.microsoft.com/office/spreadsheetml/2009/9/main" objectType="CheckBox" fmlaLink="$M$36" lockText="1" noThreeD="1"/>
</file>

<file path=xl/ctrlProps/ctrlProp752.xml><?xml version="1.0" encoding="utf-8"?>
<formControlPr xmlns="http://schemas.microsoft.com/office/spreadsheetml/2009/9/main" objectType="CheckBox" fmlaLink="$Q$21" lockText="1" noThreeD="1"/>
</file>

<file path=xl/ctrlProps/ctrlProp753.xml><?xml version="1.0" encoding="utf-8"?>
<formControlPr xmlns="http://schemas.microsoft.com/office/spreadsheetml/2009/9/main" objectType="CheckBox" fmlaLink="$Q$22" lockText="1" noThreeD="1"/>
</file>

<file path=xl/ctrlProps/ctrlProp754.xml><?xml version="1.0" encoding="utf-8"?>
<formControlPr xmlns="http://schemas.microsoft.com/office/spreadsheetml/2009/9/main" objectType="CheckBox" fmlaLink="$M$25" lockText="1" noThreeD="1"/>
</file>

<file path=xl/ctrlProps/ctrlProp755.xml><?xml version="1.0" encoding="utf-8"?>
<formControlPr xmlns="http://schemas.microsoft.com/office/spreadsheetml/2009/9/main" objectType="CheckBox" fmlaLink="$M$26" lockText="1" noThreeD="1"/>
</file>

<file path=xl/ctrlProps/ctrlProp756.xml><?xml version="1.0" encoding="utf-8"?>
<formControlPr xmlns="http://schemas.microsoft.com/office/spreadsheetml/2009/9/main" objectType="CheckBox" fmlaLink="$M$19" lockText="1" noThreeD="1"/>
</file>

<file path=xl/ctrlProps/ctrlProp757.xml><?xml version="1.0" encoding="utf-8"?>
<formControlPr xmlns="http://schemas.microsoft.com/office/spreadsheetml/2009/9/main" objectType="CheckBox" fmlaLink="$M$20" lockText="1" noThreeD="1"/>
</file>

<file path=xl/ctrlProps/ctrlProp758.xml><?xml version="1.0" encoding="utf-8"?>
<formControlPr xmlns="http://schemas.microsoft.com/office/spreadsheetml/2009/9/main" objectType="CheckBox" checked="Checked" fmlaLink="$M$21" lockText="1" noThreeD="1"/>
</file>

<file path=xl/ctrlProps/ctrlProp759.xml><?xml version="1.0" encoding="utf-8"?>
<formControlPr xmlns="http://schemas.microsoft.com/office/spreadsheetml/2009/9/main" objectType="CheckBox" fmlaLink="$M$22" lockText="1" noThreeD="1"/>
</file>

<file path=xl/ctrlProps/ctrlProp760.xml><?xml version="1.0" encoding="utf-8"?>
<formControlPr xmlns="http://schemas.microsoft.com/office/spreadsheetml/2009/9/main" objectType="CheckBox" fmlaLink="$M$23" lockText="1" noThreeD="1"/>
</file>

<file path=xl/ctrlProps/ctrlProp761.xml><?xml version="1.0" encoding="utf-8"?>
<formControlPr xmlns="http://schemas.microsoft.com/office/spreadsheetml/2009/9/main" objectType="CheckBox" fmlaLink="$M$24" lockText="1" noThreeD="1"/>
</file>

<file path=xl/ctrlProps/ctrlProp762.xml><?xml version="1.0" encoding="utf-8"?>
<formControlPr xmlns="http://schemas.microsoft.com/office/spreadsheetml/2009/9/main" objectType="CheckBox" fmlaLink="$M$27" lockText="1" noThreeD="1"/>
</file>

<file path=xl/ctrlProps/ctrlProp763.xml><?xml version="1.0" encoding="utf-8"?>
<formControlPr xmlns="http://schemas.microsoft.com/office/spreadsheetml/2009/9/main" objectType="CheckBox" fmlaLink="$K$34" lockText="1" noThreeD="1"/>
</file>

<file path=xl/ctrlProps/ctrlProp764.xml><?xml version="1.0" encoding="utf-8"?>
<formControlPr xmlns="http://schemas.microsoft.com/office/spreadsheetml/2009/9/main" objectType="CheckBox" fmlaLink="$K$35" lockText="1" noThreeD="1"/>
</file>

<file path=xl/ctrlProps/ctrlProp765.xml><?xml version="1.0" encoding="utf-8"?>
<formControlPr xmlns="http://schemas.microsoft.com/office/spreadsheetml/2009/9/main" objectType="CheckBox" fmlaLink="$K$28" lockText="1" noThreeD="1"/>
</file>

<file path=xl/ctrlProps/ctrlProp766.xml><?xml version="1.0" encoding="utf-8"?>
<formControlPr xmlns="http://schemas.microsoft.com/office/spreadsheetml/2009/9/main" objectType="CheckBox" fmlaLink="$K$29" lockText="1" noThreeD="1"/>
</file>

<file path=xl/ctrlProps/ctrlProp767.xml><?xml version="1.0" encoding="utf-8"?>
<formControlPr xmlns="http://schemas.microsoft.com/office/spreadsheetml/2009/9/main" objectType="CheckBox" fmlaLink="$K$30" lockText="1" noThreeD="1"/>
</file>

<file path=xl/ctrlProps/ctrlProp768.xml><?xml version="1.0" encoding="utf-8"?>
<formControlPr xmlns="http://schemas.microsoft.com/office/spreadsheetml/2009/9/main" objectType="CheckBox" fmlaLink="$K$31" lockText="1" noThreeD="1"/>
</file>

<file path=xl/ctrlProps/ctrlProp769.xml><?xml version="1.0" encoding="utf-8"?>
<formControlPr xmlns="http://schemas.microsoft.com/office/spreadsheetml/2009/9/main" objectType="CheckBox" fmlaLink="$K$32" lockText="1" noThreeD="1"/>
</file>

<file path=xl/ctrlProps/ctrlProp770.xml><?xml version="1.0" encoding="utf-8"?>
<formControlPr xmlns="http://schemas.microsoft.com/office/spreadsheetml/2009/9/main" objectType="CheckBox" fmlaLink="$K$33" lockText="1" noThreeD="1"/>
</file>

<file path=xl/ctrlProps/ctrlProp771.xml><?xml version="1.0" encoding="utf-8"?>
<formControlPr xmlns="http://schemas.microsoft.com/office/spreadsheetml/2009/9/main" objectType="CheckBox" fmlaLink="$K$36" lockText="1" noThreeD="1"/>
</file>

<file path=xl/ctrlProps/ctrlProp772.xml><?xml version="1.0" encoding="utf-8"?>
<formControlPr xmlns="http://schemas.microsoft.com/office/spreadsheetml/2009/9/main" objectType="CheckBox" fmlaLink="$K$25" lockText="1" noThreeD="1"/>
</file>

<file path=xl/ctrlProps/ctrlProp773.xml><?xml version="1.0" encoding="utf-8"?>
<formControlPr xmlns="http://schemas.microsoft.com/office/spreadsheetml/2009/9/main" objectType="CheckBox" fmlaLink="$K$26" lockText="1" noThreeD="1"/>
</file>

<file path=xl/ctrlProps/ctrlProp774.xml><?xml version="1.0" encoding="utf-8"?>
<formControlPr xmlns="http://schemas.microsoft.com/office/spreadsheetml/2009/9/main" objectType="CheckBox" fmlaLink="$K$19" lockText="1" noThreeD="1"/>
</file>

<file path=xl/ctrlProps/ctrlProp775.xml><?xml version="1.0" encoding="utf-8"?>
<formControlPr xmlns="http://schemas.microsoft.com/office/spreadsheetml/2009/9/main" objectType="CheckBox" fmlaLink="$K$20" lockText="1" noThreeD="1"/>
</file>

<file path=xl/ctrlProps/ctrlProp776.xml><?xml version="1.0" encoding="utf-8"?>
<formControlPr xmlns="http://schemas.microsoft.com/office/spreadsheetml/2009/9/main" objectType="CheckBox" fmlaLink="$K$21" lockText="1" noThreeD="1"/>
</file>

<file path=xl/ctrlProps/ctrlProp777.xml><?xml version="1.0" encoding="utf-8"?>
<formControlPr xmlns="http://schemas.microsoft.com/office/spreadsheetml/2009/9/main" objectType="CheckBox" checked="Checked" fmlaLink="$K$22" lockText="1" noThreeD="1"/>
</file>

<file path=xl/ctrlProps/ctrlProp778.xml><?xml version="1.0" encoding="utf-8"?>
<formControlPr xmlns="http://schemas.microsoft.com/office/spreadsheetml/2009/9/main" objectType="CheckBox" fmlaLink="$K$23" lockText="1" noThreeD="1"/>
</file>

<file path=xl/ctrlProps/ctrlProp779.xml><?xml version="1.0" encoding="utf-8"?>
<formControlPr xmlns="http://schemas.microsoft.com/office/spreadsheetml/2009/9/main" objectType="CheckBox" fmlaLink="$K$24" lockText="1" noThreeD="1"/>
</file>

<file path=xl/ctrlProps/ctrlProp780.xml><?xml version="1.0" encoding="utf-8"?>
<formControlPr xmlns="http://schemas.microsoft.com/office/spreadsheetml/2009/9/main" objectType="CheckBox" fmlaLink="$K$27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4"/>
              <a:chExt cx="969630" cy="1683080"/>
            </a:xfrm>
          </xdr:grpSpPr>
          <xdr:sp macro="" textlink="">
            <xdr:nvSpPr>
              <xdr:cNvPr id="13313" name="Check Box 1" hidden="1">
                <a:extLst>
                  <a:ext uri="{63B3BB69-23CF-44E3-9099-C40C66FF867C}">
                    <a14:compatExt spid="_x0000_s13313"/>
                  </a:ext>
                  <a:ext uri="{FF2B5EF4-FFF2-40B4-BE49-F238E27FC236}">
                    <a16:creationId xmlns:a16="http://schemas.microsoft.com/office/drawing/2014/main" id="{00000000-0008-0000-0200-000001340000}"/>
                  </a:ext>
                </a:extLst>
              </xdr:cNvPr>
              <xdr:cNvSpPr/>
            </xdr:nvSpPr>
            <xdr:spPr bwMode="auto">
              <a:xfrm>
                <a:off x="1883093" y="4572944"/>
                <a:ext cx="969630" cy="29345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13314" name="Check Box 2" hidden="1">
                <a:extLst>
                  <a:ext uri="{63B3BB69-23CF-44E3-9099-C40C66FF867C}">
                    <a14:compatExt spid="_x0000_s13314"/>
                  </a:ext>
                  <a:ext uri="{FF2B5EF4-FFF2-40B4-BE49-F238E27FC236}">
                    <a16:creationId xmlns:a16="http://schemas.microsoft.com/office/drawing/2014/main" id="{00000000-0008-0000-0200-000002340000}"/>
                  </a:ext>
                </a:extLst>
              </xdr:cNvPr>
              <xdr:cNvSpPr/>
            </xdr:nvSpPr>
            <xdr:spPr bwMode="auto">
              <a:xfrm>
                <a:off x="1883093" y="4969984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13315" name="Check Box 3" hidden="1">
                <a:extLst>
                  <a:ext uri="{63B3BB69-23CF-44E3-9099-C40C66FF867C}">
                    <a14:compatExt spid="_x0000_s13315"/>
                  </a:ext>
                  <a:ext uri="{FF2B5EF4-FFF2-40B4-BE49-F238E27FC236}">
                    <a16:creationId xmlns:a16="http://schemas.microsoft.com/office/drawing/2014/main" id="{00000000-0008-0000-0200-000003340000}"/>
                  </a:ext>
                </a:extLst>
              </xdr:cNvPr>
              <xdr:cNvSpPr/>
            </xdr:nvSpPr>
            <xdr:spPr bwMode="auto">
              <a:xfrm>
                <a:off x="1883093" y="516849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13316" name="Check Box 4" hidden="1">
                <a:extLst>
                  <a:ext uri="{63B3BB69-23CF-44E3-9099-C40C66FF867C}">
                    <a14:compatExt spid="_x0000_s13316"/>
                  </a:ext>
                  <a:ext uri="{FF2B5EF4-FFF2-40B4-BE49-F238E27FC236}">
                    <a16:creationId xmlns:a16="http://schemas.microsoft.com/office/drawing/2014/main" id="{00000000-0008-0000-0200-0000043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13317" name="Check Box 5" hidden="1">
                <a:extLst>
                  <a:ext uri="{63B3BB69-23CF-44E3-9099-C40C66FF867C}">
                    <a14:compatExt spid="_x0000_s13317"/>
                  </a:ext>
                  <a:ext uri="{FF2B5EF4-FFF2-40B4-BE49-F238E27FC236}">
                    <a16:creationId xmlns:a16="http://schemas.microsoft.com/office/drawing/2014/main" id="{00000000-0008-0000-0200-0000053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13318" name="Check Box 6" hidden="1">
                <a:extLst>
                  <a:ext uri="{63B3BB69-23CF-44E3-9099-C40C66FF867C}">
                    <a14:compatExt spid="_x0000_s13318"/>
                  </a:ext>
                  <a:ext uri="{FF2B5EF4-FFF2-40B4-BE49-F238E27FC236}">
                    <a16:creationId xmlns:a16="http://schemas.microsoft.com/office/drawing/2014/main" id="{00000000-0008-0000-0200-000006340000}"/>
                  </a:ext>
                </a:extLst>
              </xdr:cNvPr>
              <xdr:cNvSpPr/>
            </xdr:nvSpPr>
            <xdr:spPr bwMode="auto">
              <a:xfrm>
                <a:off x="1883093" y="576404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13319" name="Check Box 7" hidden="1">
                <a:extLst>
                  <a:ext uri="{63B3BB69-23CF-44E3-9099-C40C66FF867C}">
                    <a14:compatExt spid="_x0000_s13319"/>
                  </a:ext>
                  <a:ext uri="{FF2B5EF4-FFF2-40B4-BE49-F238E27FC236}">
                    <a16:creationId xmlns:a16="http://schemas.microsoft.com/office/drawing/2014/main" id="{00000000-0008-0000-0200-0000073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13320" name="Check Box 8" hidden="1">
                <a:extLst>
                  <a:ext uri="{63B3BB69-23CF-44E3-9099-C40C66FF867C}">
                    <a14:compatExt spid="_x0000_s13320"/>
                  </a:ext>
                  <a:ext uri="{FF2B5EF4-FFF2-40B4-BE49-F238E27FC236}">
                    <a16:creationId xmlns:a16="http://schemas.microsoft.com/office/drawing/2014/main" id="{00000000-0008-0000-0200-0000083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1"/>
              <a:chExt cx="1554480" cy="449562"/>
            </a:xfrm>
          </xdr:grpSpPr>
          <xdr:sp macro="" textlink="">
            <xdr:nvSpPr>
              <xdr:cNvPr id="13321" name="Check Box 9" hidden="1">
                <a:extLst>
                  <a:ext uri="{63B3BB69-23CF-44E3-9099-C40C66FF867C}">
                    <a14:compatExt spid="_x0000_s13321"/>
                  </a:ext>
                  <a:ext uri="{FF2B5EF4-FFF2-40B4-BE49-F238E27FC236}">
                    <a16:creationId xmlns:a16="http://schemas.microsoft.com/office/drawing/2014/main" id="{00000000-0008-0000-0200-000009340000}"/>
                  </a:ext>
                </a:extLst>
              </xdr:cNvPr>
              <xdr:cNvSpPr/>
            </xdr:nvSpPr>
            <xdr:spPr bwMode="auto">
              <a:xfrm>
                <a:off x="3535680" y="4572041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13322" name="Check Box 10" hidden="1">
                <a:extLst>
                  <a:ext uri="{63B3BB69-23CF-44E3-9099-C40C66FF867C}">
                    <a14:compatExt spid="_x0000_s13322"/>
                  </a:ext>
                  <a:ext uri="{FF2B5EF4-FFF2-40B4-BE49-F238E27FC236}">
                    <a16:creationId xmlns:a16="http://schemas.microsoft.com/office/drawing/2014/main" id="{00000000-0008-0000-0200-00000A340000}"/>
                  </a:ext>
                </a:extLst>
              </xdr:cNvPr>
              <xdr:cNvSpPr/>
            </xdr:nvSpPr>
            <xdr:spPr bwMode="auto">
              <a:xfrm>
                <a:off x="3535676" y="4747283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497"/>
            </a:xfrm>
          </xdr:grpSpPr>
          <xdr:sp macro="" textlink="">
            <xdr:nvSpPr>
              <xdr:cNvPr id="13323" name="Check Box 11" hidden="1">
                <a:extLst>
                  <a:ext uri="{63B3BB69-23CF-44E3-9099-C40C66FF867C}">
                    <a14:compatExt spid="_x0000_s13323"/>
                  </a:ext>
                  <a:ext uri="{FF2B5EF4-FFF2-40B4-BE49-F238E27FC236}">
                    <a16:creationId xmlns:a16="http://schemas.microsoft.com/office/drawing/2014/main" id="{00000000-0008-0000-0200-00000B3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13324" name="Check Box 12" hidden="1">
                <a:extLst>
                  <a:ext uri="{63B3BB69-23CF-44E3-9099-C40C66FF867C}">
                    <a14:compatExt spid="_x0000_s13324"/>
                  </a:ext>
                  <a:ext uri="{FF2B5EF4-FFF2-40B4-BE49-F238E27FC236}">
                    <a16:creationId xmlns:a16="http://schemas.microsoft.com/office/drawing/2014/main" id="{00000000-0008-0000-0200-00000C3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13325" name="Check Box 13" hidden="1">
                <a:extLst>
                  <a:ext uri="{63B3BB69-23CF-44E3-9099-C40C66FF867C}">
                    <a14:compatExt spid="_x0000_s13325"/>
                  </a:ext>
                  <a:ext uri="{FF2B5EF4-FFF2-40B4-BE49-F238E27FC236}">
                    <a16:creationId xmlns:a16="http://schemas.microsoft.com/office/drawing/2014/main" id="{00000000-0008-0000-0200-00000D3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13326" name="Check Box 14" hidden="1">
                <a:extLst>
                  <a:ext uri="{63B3BB69-23CF-44E3-9099-C40C66FF867C}">
                    <a14:compatExt spid="_x0000_s13326"/>
                  </a:ext>
                  <a:ext uri="{FF2B5EF4-FFF2-40B4-BE49-F238E27FC236}">
                    <a16:creationId xmlns:a16="http://schemas.microsoft.com/office/drawing/2014/main" id="{00000000-0008-0000-0200-00000E340000}"/>
                  </a:ext>
                </a:extLst>
              </xdr:cNvPr>
              <xdr:cNvSpPr/>
            </xdr:nvSpPr>
            <xdr:spPr bwMode="auto">
              <a:xfrm>
                <a:off x="5394960" y="5417805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9"/>
              <a:chExt cx="1122959" cy="1545357"/>
            </a:xfrm>
          </xdr:grpSpPr>
          <xdr:sp macro="" textlink="">
            <xdr:nvSpPr>
              <xdr:cNvPr id="13327" name="Check Box 15" hidden="1">
                <a:extLst>
                  <a:ext uri="{63B3BB69-23CF-44E3-9099-C40C66FF867C}">
                    <a14:compatExt spid="_x0000_s13327"/>
                  </a:ext>
                  <a:ext uri="{FF2B5EF4-FFF2-40B4-BE49-F238E27FC236}">
                    <a16:creationId xmlns:a16="http://schemas.microsoft.com/office/drawing/2014/main" id="{00000000-0008-0000-0200-00000F3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13328" name="Check Box 16" hidden="1">
                <a:extLst>
                  <a:ext uri="{63B3BB69-23CF-44E3-9099-C40C66FF867C}">
                    <a14:compatExt spid="_x0000_s13328"/>
                  </a:ext>
                  <a:ext uri="{FF2B5EF4-FFF2-40B4-BE49-F238E27FC236}">
                    <a16:creationId xmlns:a16="http://schemas.microsoft.com/office/drawing/2014/main" id="{00000000-0008-0000-0200-0000103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13329" name="Check Box 17" hidden="1">
                <a:extLst>
                  <a:ext uri="{63B3BB69-23CF-44E3-9099-C40C66FF867C}">
                    <a14:compatExt spid="_x0000_s13329"/>
                  </a:ext>
                  <a:ext uri="{FF2B5EF4-FFF2-40B4-BE49-F238E27FC236}">
                    <a16:creationId xmlns:a16="http://schemas.microsoft.com/office/drawing/2014/main" id="{00000000-0008-0000-0200-000011340000}"/>
                  </a:ext>
                </a:extLst>
              </xdr:cNvPr>
              <xdr:cNvSpPr/>
            </xdr:nvSpPr>
            <xdr:spPr bwMode="auto">
              <a:xfrm>
                <a:off x="903513" y="4495529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13330" name="Check Box 18" hidden="1">
                <a:extLst>
                  <a:ext uri="{63B3BB69-23CF-44E3-9099-C40C66FF867C}">
                    <a14:compatExt spid="_x0000_s13330"/>
                  </a:ext>
                  <a:ext uri="{FF2B5EF4-FFF2-40B4-BE49-F238E27FC236}">
                    <a16:creationId xmlns:a16="http://schemas.microsoft.com/office/drawing/2014/main" id="{00000000-0008-0000-0200-0000123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3331" name="Check Box 19" hidden="1">
                <a:extLst>
                  <a:ext uri="{63B3BB69-23CF-44E3-9099-C40C66FF867C}">
                    <a14:compatExt spid="_x0000_s13331"/>
                  </a:ext>
                  <a:ext uri="{FF2B5EF4-FFF2-40B4-BE49-F238E27FC236}">
                    <a16:creationId xmlns:a16="http://schemas.microsoft.com/office/drawing/2014/main" id="{00000000-0008-0000-0200-0000133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13332" name="Check Box 20" hidden="1">
                <a:extLst>
                  <a:ext uri="{63B3BB69-23CF-44E3-9099-C40C66FF867C}">
                    <a14:compatExt spid="_x0000_s13332"/>
                  </a:ext>
                  <a:ext uri="{FF2B5EF4-FFF2-40B4-BE49-F238E27FC236}">
                    <a16:creationId xmlns:a16="http://schemas.microsoft.com/office/drawing/2014/main" id="{00000000-0008-0000-0200-0000143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13333" name="Check Box 21" hidden="1">
                <a:extLst>
                  <a:ext uri="{63B3BB69-23CF-44E3-9099-C40C66FF867C}">
                    <a14:compatExt spid="_x0000_s13333"/>
                  </a:ext>
                  <a:ext uri="{FF2B5EF4-FFF2-40B4-BE49-F238E27FC236}">
                    <a16:creationId xmlns:a16="http://schemas.microsoft.com/office/drawing/2014/main" id="{00000000-0008-0000-0200-0000153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13334" name="Check Box 22" hidden="1">
                <a:extLst>
                  <a:ext uri="{63B3BB69-23CF-44E3-9099-C40C66FF867C}">
                    <a14:compatExt spid="_x0000_s13334"/>
                  </a:ext>
                  <a:ext uri="{FF2B5EF4-FFF2-40B4-BE49-F238E27FC236}">
                    <a16:creationId xmlns:a16="http://schemas.microsoft.com/office/drawing/2014/main" id="{00000000-0008-0000-0200-0000163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13335" name="Check Box 23" hidden="1">
                <a:extLst>
                  <a:ext uri="{63B3BB69-23CF-44E3-9099-C40C66FF867C}">
                    <a14:compatExt spid="_x0000_s13335"/>
                  </a:ext>
                  <a:ext uri="{FF2B5EF4-FFF2-40B4-BE49-F238E27FC236}">
                    <a16:creationId xmlns:a16="http://schemas.microsoft.com/office/drawing/2014/main" id="{00000000-0008-0000-0200-000017340000}"/>
                  </a:ext>
                </a:extLst>
              </xdr:cNvPr>
              <xdr:cNvSpPr/>
            </xdr:nvSpPr>
            <xdr:spPr bwMode="auto">
              <a:xfrm>
                <a:off x="903513" y="5855052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06"/>
              <a:chExt cx="1554480" cy="513818"/>
            </a:xfrm>
          </xdr:grpSpPr>
          <xdr:sp macro="" textlink="">
            <xdr:nvSpPr>
              <xdr:cNvPr id="13336" name="Check Box 24" hidden="1">
                <a:extLst>
                  <a:ext uri="{63B3BB69-23CF-44E3-9099-C40C66FF867C}">
                    <a14:compatExt spid="_x0000_s13336"/>
                  </a:ext>
                  <a:ext uri="{FF2B5EF4-FFF2-40B4-BE49-F238E27FC236}">
                    <a16:creationId xmlns:a16="http://schemas.microsoft.com/office/drawing/2014/main" id="{00000000-0008-0000-0200-000018340000}"/>
                  </a:ext>
                </a:extLst>
              </xdr:cNvPr>
              <xdr:cNvSpPr/>
            </xdr:nvSpPr>
            <xdr:spPr bwMode="auto">
              <a:xfrm>
                <a:off x="3535680" y="4533506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13337" name="Check Box 25" hidden="1">
                <a:extLst>
                  <a:ext uri="{63B3BB69-23CF-44E3-9099-C40C66FF867C}">
                    <a14:compatExt spid="_x0000_s13337"/>
                  </a:ext>
                  <a:ext uri="{FF2B5EF4-FFF2-40B4-BE49-F238E27FC236}">
                    <a16:creationId xmlns:a16="http://schemas.microsoft.com/office/drawing/2014/main" id="{00000000-0008-0000-0200-000019340000}"/>
                  </a:ext>
                </a:extLst>
              </xdr:cNvPr>
              <xdr:cNvSpPr/>
            </xdr:nvSpPr>
            <xdr:spPr bwMode="auto">
              <a:xfrm>
                <a:off x="3535676" y="4773004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4"/>
              <a:chExt cx="1122959" cy="1535573"/>
            </a:xfrm>
          </xdr:grpSpPr>
          <xdr:sp macro="" textlink="">
            <xdr:nvSpPr>
              <xdr:cNvPr id="13338" name="Check Box 26" hidden="1">
                <a:extLst>
                  <a:ext uri="{63B3BB69-23CF-44E3-9099-C40C66FF867C}">
                    <a14:compatExt spid="_x0000_s13338"/>
                  </a:ext>
                  <a:ext uri="{FF2B5EF4-FFF2-40B4-BE49-F238E27FC236}">
                    <a16:creationId xmlns:a16="http://schemas.microsoft.com/office/drawing/2014/main" id="{00000000-0008-0000-0200-00001A3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13339" name="Check Box 27" hidden="1">
                <a:extLst>
                  <a:ext uri="{63B3BB69-23CF-44E3-9099-C40C66FF867C}">
                    <a14:compatExt spid="_x0000_s13339"/>
                  </a:ext>
                  <a:ext uri="{FF2B5EF4-FFF2-40B4-BE49-F238E27FC236}">
                    <a16:creationId xmlns:a16="http://schemas.microsoft.com/office/drawing/2014/main" id="{00000000-0008-0000-0200-00001B340000}"/>
                  </a:ext>
                </a:extLst>
              </xdr:cNvPr>
              <xdr:cNvSpPr/>
            </xdr:nvSpPr>
            <xdr:spPr bwMode="auto">
              <a:xfrm>
                <a:off x="903513" y="5708335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13340" name="Check Box 28" hidden="1">
                <a:extLst>
                  <a:ext uri="{63B3BB69-23CF-44E3-9099-C40C66FF867C}">
                    <a14:compatExt spid="_x0000_s13340"/>
                  </a:ext>
                  <a:ext uri="{FF2B5EF4-FFF2-40B4-BE49-F238E27FC236}">
                    <a16:creationId xmlns:a16="http://schemas.microsoft.com/office/drawing/2014/main" id="{00000000-0008-0000-0200-00001C340000}"/>
                  </a:ext>
                </a:extLst>
              </xdr:cNvPr>
              <xdr:cNvSpPr/>
            </xdr:nvSpPr>
            <xdr:spPr bwMode="auto">
              <a:xfrm>
                <a:off x="903513" y="4495534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13341" name="Check Box 29" hidden="1">
                <a:extLst>
                  <a:ext uri="{63B3BB69-23CF-44E3-9099-C40C66FF867C}">
                    <a14:compatExt spid="_x0000_s13341"/>
                  </a:ext>
                  <a:ext uri="{FF2B5EF4-FFF2-40B4-BE49-F238E27FC236}">
                    <a16:creationId xmlns:a16="http://schemas.microsoft.com/office/drawing/2014/main" id="{00000000-0008-0000-0200-00001D3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13342" name="Check Box 30" hidden="1">
                <a:extLst>
                  <a:ext uri="{63B3BB69-23CF-44E3-9099-C40C66FF867C}">
                    <a14:compatExt spid="_x0000_s13342"/>
                  </a:ext>
                  <a:ext uri="{FF2B5EF4-FFF2-40B4-BE49-F238E27FC236}">
                    <a16:creationId xmlns:a16="http://schemas.microsoft.com/office/drawing/2014/main" id="{00000000-0008-0000-0200-00001E3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13343" name="Check Box 31" hidden="1">
                <a:extLst>
                  <a:ext uri="{63B3BB69-23CF-44E3-9099-C40C66FF867C}">
                    <a14:compatExt spid="_x0000_s13343"/>
                  </a:ext>
                  <a:ext uri="{FF2B5EF4-FFF2-40B4-BE49-F238E27FC236}">
                    <a16:creationId xmlns:a16="http://schemas.microsoft.com/office/drawing/2014/main" id="{00000000-0008-0000-0200-00001F3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13344" name="Check Box 32" hidden="1">
                <a:extLst>
                  <a:ext uri="{63B3BB69-23CF-44E3-9099-C40C66FF867C}">
                    <a14:compatExt spid="_x0000_s13344"/>
                  </a:ext>
                  <a:ext uri="{FF2B5EF4-FFF2-40B4-BE49-F238E27FC236}">
                    <a16:creationId xmlns:a16="http://schemas.microsoft.com/office/drawing/2014/main" id="{00000000-0008-0000-0200-0000203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13345" name="Check Box 33" hidden="1">
                <a:extLst>
                  <a:ext uri="{63B3BB69-23CF-44E3-9099-C40C66FF867C}">
                    <a14:compatExt spid="_x0000_s13345"/>
                  </a:ext>
                  <a:ext uri="{FF2B5EF4-FFF2-40B4-BE49-F238E27FC236}">
                    <a16:creationId xmlns:a16="http://schemas.microsoft.com/office/drawing/2014/main" id="{00000000-0008-0000-0200-0000213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13346" name="Check Box 34" hidden="1">
                <a:extLst>
                  <a:ext uri="{63B3BB69-23CF-44E3-9099-C40C66FF867C}">
                    <a14:compatExt spid="_x0000_s13346"/>
                  </a:ext>
                  <a:ext uri="{FF2B5EF4-FFF2-40B4-BE49-F238E27FC236}">
                    <a16:creationId xmlns:a16="http://schemas.microsoft.com/office/drawing/2014/main" id="{00000000-0008-0000-0200-000022340000}"/>
                  </a:ext>
                </a:extLst>
              </xdr:cNvPr>
              <xdr:cNvSpPr/>
            </xdr:nvSpPr>
            <xdr:spPr bwMode="auto">
              <a:xfrm>
                <a:off x="903513" y="5903545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4"/>
              <a:chExt cx="1122959" cy="1545361"/>
            </a:xfrm>
          </xdr:grpSpPr>
          <xdr:sp macro="" textlink="">
            <xdr:nvSpPr>
              <xdr:cNvPr id="13347" name="Check Box 35" hidden="1">
                <a:extLst>
                  <a:ext uri="{63B3BB69-23CF-44E3-9099-C40C66FF867C}">
                    <a14:compatExt spid="_x0000_s13347"/>
                  </a:ext>
                  <a:ext uri="{FF2B5EF4-FFF2-40B4-BE49-F238E27FC236}">
                    <a16:creationId xmlns:a16="http://schemas.microsoft.com/office/drawing/2014/main" id="{00000000-0008-0000-0200-0000233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13348" name="Check Box 36" hidden="1">
                <a:extLst>
                  <a:ext uri="{63B3BB69-23CF-44E3-9099-C40C66FF867C}">
                    <a14:compatExt spid="_x0000_s13348"/>
                  </a:ext>
                  <a:ext uri="{FF2B5EF4-FFF2-40B4-BE49-F238E27FC236}">
                    <a16:creationId xmlns:a16="http://schemas.microsoft.com/office/drawing/2014/main" id="{00000000-0008-0000-0200-0000243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13349" name="Check Box 37" hidden="1">
                <a:extLst>
                  <a:ext uri="{63B3BB69-23CF-44E3-9099-C40C66FF867C}">
                    <a14:compatExt spid="_x0000_s13349"/>
                  </a:ext>
                  <a:ext uri="{FF2B5EF4-FFF2-40B4-BE49-F238E27FC236}">
                    <a16:creationId xmlns:a16="http://schemas.microsoft.com/office/drawing/2014/main" id="{00000000-0008-0000-0200-000025340000}"/>
                  </a:ext>
                </a:extLst>
              </xdr:cNvPr>
              <xdr:cNvSpPr/>
            </xdr:nvSpPr>
            <xdr:spPr bwMode="auto">
              <a:xfrm>
                <a:off x="903513" y="4495524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13350" name="Check Box 38" hidden="1">
                <a:extLst>
                  <a:ext uri="{63B3BB69-23CF-44E3-9099-C40C66FF867C}">
                    <a14:compatExt spid="_x0000_s13350"/>
                  </a:ext>
                  <a:ext uri="{FF2B5EF4-FFF2-40B4-BE49-F238E27FC236}">
                    <a16:creationId xmlns:a16="http://schemas.microsoft.com/office/drawing/2014/main" id="{00000000-0008-0000-0200-0000263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3351" name="Check Box 39" hidden="1">
                <a:extLst>
                  <a:ext uri="{63B3BB69-23CF-44E3-9099-C40C66FF867C}">
                    <a14:compatExt spid="_x0000_s13351"/>
                  </a:ext>
                  <a:ext uri="{FF2B5EF4-FFF2-40B4-BE49-F238E27FC236}">
                    <a16:creationId xmlns:a16="http://schemas.microsoft.com/office/drawing/2014/main" id="{00000000-0008-0000-0200-0000273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13352" name="Check Box 40" hidden="1">
                <a:extLst>
                  <a:ext uri="{63B3BB69-23CF-44E3-9099-C40C66FF867C}">
                    <a14:compatExt spid="_x0000_s13352"/>
                  </a:ext>
                  <a:ext uri="{FF2B5EF4-FFF2-40B4-BE49-F238E27FC236}">
                    <a16:creationId xmlns:a16="http://schemas.microsoft.com/office/drawing/2014/main" id="{00000000-0008-0000-0200-0000283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13353" name="Check Box 41" hidden="1">
                <a:extLst>
                  <a:ext uri="{63B3BB69-23CF-44E3-9099-C40C66FF867C}">
                    <a14:compatExt spid="_x0000_s13353"/>
                  </a:ext>
                  <a:ext uri="{FF2B5EF4-FFF2-40B4-BE49-F238E27FC236}">
                    <a16:creationId xmlns:a16="http://schemas.microsoft.com/office/drawing/2014/main" id="{00000000-0008-0000-0200-0000293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13354" name="Check Box 42" hidden="1">
                <a:extLst>
                  <a:ext uri="{63B3BB69-23CF-44E3-9099-C40C66FF867C}">
                    <a14:compatExt spid="_x0000_s13354"/>
                  </a:ext>
                  <a:ext uri="{FF2B5EF4-FFF2-40B4-BE49-F238E27FC236}">
                    <a16:creationId xmlns:a16="http://schemas.microsoft.com/office/drawing/2014/main" id="{00000000-0008-0000-0200-00002A3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13355" name="Check Box 43" hidden="1">
                <a:extLst>
                  <a:ext uri="{63B3BB69-23CF-44E3-9099-C40C66FF867C}">
                    <a14:compatExt spid="_x0000_s13355"/>
                  </a:ext>
                  <a:ext uri="{FF2B5EF4-FFF2-40B4-BE49-F238E27FC236}">
                    <a16:creationId xmlns:a16="http://schemas.microsoft.com/office/drawing/2014/main" id="{00000000-0008-0000-0200-00002B340000}"/>
                  </a:ext>
                </a:extLst>
              </xdr:cNvPr>
              <xdr:cNvSpPr/>
            </xdr:nvSpPr>
            <xdr:spPr bwMode="auto">
              <a:xfrm>
                <a:off x="903513" y="5932885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5"/>
              <a:chExt cx="800100" cy="1514493"/>
            </a:xfrm>
          </xdr:grpSpPr>
          <xdr:sp macro="" textlink="">
            <xdr:nvSpPr>
              <xdr:cNvPr id="13356" name="Check Box 44" hidden="1">
                <a:extLst>
                  <a:ext uri="{63B3BB69-23CF-44E3-9099-C40C66FF867C}">
                    <a14:compatExt spid="_x0000_s13356"/>
                  </a:ext>
                  <a:ext uri="{FF2B5EF4-FFF2-40B4-BE49-F238E27FC236}">
                    <a16:creationId xmlns:a16="http://schemas.microsoft.com/office/drawing/2014/main" id="{00000000-0008-0000-0200-00002C3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13357" name="Check Box 45" hidden="1">
                <a:extLst>
                  <a:ext uri="{63B3BB69-23CF-44E3-9099-C40C66FF867C}">
                    <a14:compatExt spid="_x0000_s13357"/>
                  </a:ext>
                  <a:ext uri="{FF2B5EF4-FFF2-40B4-BE49-F238E27FC236}">
                    <a16:creationId xmlns:a16="http://schemas.microsoft.com/office/drawing/2014/main" id="{00000000-0008-0000-0200-00002D3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13358" name="Check Box 46" descr="추락" hidden="1">
                <a:extLst>
                  <a:ext uri="{63B3BB69-23CF-44E3-9099-C40C66FF867C}">
                    <a14:compatExt spid="_x0000_s13358"/>
                  </a:ext>
                  <a:ext uri="{FF2B5EF4-FFF2-40B4-BE49-F238E27FC236}">
                    <a16:creationId xmlns:a16="http://schemas.microsoft.com/office/drawing/2014/main" id="{00000000-0008-0000-0200-00002E340000}"/>
                  </a:ext>
                </a:extLst>
              </xdr:cNvPr>
              <xdr:cNvSpPr/>
            </xdr:nvSpPr>
            <xdr:spPr bwMode="auto">
              <a:xfrm>
                <a:off x="1676400" y="4286245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13359" name="Check Box 47" hidden="1">
                <a:extLst>
                  <a:ext uri="{63B3BB69-23CF-44E3-9099-C40C66FF867C}">
                    <a14:compatExt spid="_x0000_s13359"/>
                  </a:ext>
                  <a:ext uri="{FF2B5EF4-FFF2-40B4-BE49-F238E27FC236}">
                    <a16:creationId xmlns:a16="http://schemas.microsoft.com/office/drawing/2014/main" id="{00000000-0008-0000-0200-00002F3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13360" name="Check Box 48" hidden="1">
                <a:extLst>
                  <a:ext uri="{63B3BB69-23CF-44E3-9099-C40C66FF867C}">
                    <a14:compatExt spid="_x0000_s13360"/>
                  </a:ext>
                  <a:ext uri="{FF2B5EF4-FFF2-40B4-BE49-F238E27FC236}">
                    <a16:creationId xmlns:a16="http://schemas.microsoft.com/office/drawing/2014/main" id="{00000000-0008-0000-0200-0000303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13361" name="Check Box 49" hidden="1">
                <a:extLst>
                  <a:ext uri="{63B3BB69-23CF-44E3-9099-C40C66FF867C}">
                    <a14:compatExt spid="_x0000_s13361"/>
                  </a:ext>
                  <a:ext uri="{FF2B5EF4-FFF2-40B4-BE49-F238E27FC236}">
                    <a16:creationId xmlns:a16="http://schemas.microsoft.com/office/drawing/2014/main" id="{00000000-0008-0000-0200-0000313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13362" name="Check Box 50" hidden="1">
                <a:extLst>
                  <a:ext uri="{63B3BB69-23CF-44E3-9099-C40C66FF867C}">
                    <a14:compatExt spid="_x0000_s13362"/>
                  </a:ext>
                  <a:ext uri="{FF2B5EF4-FFF2-40B4-BE49-F238E27FC236}">
                    <a16:creationId xmlns:a16="http://schemas.microsoft.com/office/drawing/2014/main" id="{00000000-0008-0000-0200-0000323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13363" name="Check Box 51" hidden="1">
                <a:extLst>
                  <a:ext uri="{63B3BB69-23CF-44E3-9099-C40C66FF867C}">
                    <a14:compatExt spid="_x0000_s13363"/>
                  </a:ext>
                  <a:ext uri="{FF2B5EF4-FFF2-40B4-BE49-F238E27FC236}">
                    <a16:creationId xmlns:a16="http://schemas.microsoft.com/office/drawing/2014/main" id="{00000000-0008-0000-0200-0000333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13364" name="Check Box 52" hidden="1">
                <a:extLst>
                  <a:ext uri="{63B3BB69-23CF-44E3-9099-C40C66FF867C}">
                    <a14:compatExt spid="_x0000_s13364"/>
                  </a:ext>
                  <a:ext uri="{FF2B5EF4-FFF2-40B4-BE49-F238E27FC236}">
                    <a16:creationId xmlns:a16="http://schemas.microsoft.com/office/drawing/2014/main" id="{00000000-0008-0000-0200-0000343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12289" name="Check Box 1" hidden="1">
                <a:extLst>
                  <a:ext uri="{63B3BB69-23CF-44E3-9099-C40C66FF867C}">
                    <a14:compatExt spid="_x0000_s12289"/>
                  </a:ext>
                  <a:ext uri="{FF2B5EF4-FFF2-40B4-BE49-F238E27FC236}">
                    <a16:creationId xmlns:a16="http://schemas.microsoft.com/office/drawing/2014/main" id="{00000000-0008-0000-0300-00000130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12290" name="Check Box 2" hidden="1">
                <a:extLst>
                  <a:ext uri="{63B3BB69-23CF-44E3-9099-C40C66FF867C}">
                    <a14:compatExt spid="_x0000_s12290"/>
                  </a:ext>
                  <a:ext uri="{FF2B5EF4-FFF2-40B4-BE49-F238E27FC236}">
                    <a16:creationId xmlns:a16="http://schemas.microsoft.com/office/drawing/2014/main" id="{00000000-0008-0000-0300-00000230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12291" name="Check Box 3" hidden="1">
                <a:extLst>
                  <a:ext uri="{63B3BB69-23CF-44E3-9099-C40C66FF867C}">
                    <a14:compatExt spid="_x0000_s12291"/>
                  </a:ext>
                  <a:ext uri="{FF2B5EF4-FFF2-40B4-BE49-F238E27FC236}">
                    <a16:creationId xmlns:a16="http://schemas.microsoft.com/office/drawing/2014/main" id="{00000000-0008-0000-0300-00000330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12292" name="Check Box 4" hidden="1">
                <a:extLst>
                  <a:ext uri="{63B3BB69-23CF-44E3-9099-C40C66FF867C}">
                    <a14:compatExt spid="_x0000_s12292"/>
                  </a:ext>
                  <a:ext uri="{FF2B5EF4-FFF2-40B4-BE49-F238E27FC236}">
                    <a16:creationId xmlns:a16="http://schemas.microsoft.com/office/drawing/2014/main" id="{00000000-0008-0000-0300-00000430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12293" name="Check Box 5" hidden="1">
                <a:extLst>
                  <a:ext uri="{63B3BB69-23CF-44E3-9099-C40C66FF867C}">
                    <a14:compatExt spid="_x0000_s12293"/>
                  </a:ext>
                  <a:ext uri="{FF2B5EF4-FFF2-40B4-BE49-F238E27FC236}">
                    <a16:creationId xmlns:a16="http://schemas.microsoft.com/office/drawing/2014/main" id="{00000000-0008-0000-0300-00000530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12294" name="Check Box 6" hidden="1">
                <a:extLst>
                  <a:ext uri="{63B3BB69-23CF-44E3-9099-C40C66FF867C}">
                    <a14:compatExt spid="_x0000_s12294"/>
                  </a:ext>
                  <a:ext uri="{FF2B5EF4-FFF2-40B4-BE49-F238E27FC236}">
                    <a16:creationId xmlns:a16="http://schemas.microsoft.com/office/drawing/2014/main" id="{00000000-0008-0000-0300-00000630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12295" name="Check Box 7" hidden="1">
                <a:extLst>
                  <a:ext uri="{63B3BB69-23CF-44E3-9099-C40C66FF867C}">
                    <a14:compatExt spid="_x0000_s12295"/>
                  </a:ext>
                  <a:ext uri="{FF2B5EF4-FFF2-40B4-BE49-F238E27FC236}">
                    <a16:creationId xmlns:a16="http://schemas.microsoft.com/office/drawing/2014/main" id="{00000000-0008-0000-0300-00000730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12296" name="Check Box 8" hidden="1">
                <a:extLst>
                  <a:ext uri="{63B3BB69-23CF-44E3-9099-C40C66FF867C}">
                    <a14:compatExt spid="_x0000_s12296"/>
                  </a:ext>
                  <a:ext uri="{FF2B5EF4-FFF2-40B4-BE49-F238E27FC236}">
                    <a16:creationId xmlns:a16="http://schemas.microsoft.com/office/drawing/2014/main" id="{00000000-0008-0000-0300-00000830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12297" name="Check Box 9" hidden="1">
                <a:extLst>
                  <a:ext uri="{63B3BB69-23CF-44E3-9099-C40C66FF867C}">
                    <a14:compatExt spid="_x0000_s12297"/>
                  </a:ext>
                  <a:ext uri="{FF2B5EF4-FFF2-40B4-BE49-F238E27FC236}">
                    <a16:creationId xmlns:a16="http://schemas.microsoft.com/office/drawing/2014/main" id="{00000000-0008-0000-0300-00000930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12298" name="Check Box 10" hidden="1">
                <a:extLst>
                  <a:ext uri="{63B3BB69-23CF-44E3-9099-C40C66FF867C}">
                    <a14:compatExt spid="_x0000_s12298"/>
                  </a:ext>
                  <a:ext uri="{FF2B5EF4-FFF2-40B4-BE49-F238E27FC236}">
                    <a16:creationId xmlns:a16="http://schemas.microsoft.com/office/drawing/2014/main" id="{00000000-0008-0000-0300-00000A30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12299" name="Check Box 11" hidden="1">
                <a:extLst>
                  <a:ext uri="{63B3BB69-23CF-44E3-9099-C40C66FF867C}">
                    <a14:compatExt spid="_x0000_s12299"/>
                  </a:ext>
                  <a:ext uri="{FF2B5EF4-FFF2-40B4-BE49-F238E27FC236}">
                    <a16:creationId xmlns:a16="http://schemas.microsoft.com/office/drawing/2014/main" id="{00000000-0008-0000-0300-00000B30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12300" name="Check Box 12" hidden="1">
                <a:extLst>
                  <a:ext uri="{63B3BB69-23CF-44E3-9099-C40C66FF867C}">
                    <a14:compatExt spid="_x0000_s12300"/>
                  </a:ext>
                  <a:ext uri="{FF2B5EF4-FFF2-40B4-BE49-F238E27FC236}">
                    <a16:creationId xmlns:a16="http://schemas.microsoft.com/office/drawing/2014/main" id="{00000000-0008-0000-0300-00000C30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12301" name="Check Box 13" hidden="1">
                <a:extLst>
                  <a:ext uri="{63B3BB69-23CF-44E3-9099-C40C66FF867C}">
                    <a14:compatExt spid="_x0000_s12301"/>
                  </a:ext>
                  <a:ext uri="{FF2B5EF4-FFF2-40B4-BE49-F238E27FC236}">
                    <a16:creationId xmlns:a16="http://schemas.microsoft.com/office/drawing/2014/main" id="{00000000-0008-0000-0300-00000D30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12302" name="Check Box 14" hidden="1">
                <a:extLst>
                  <a:ext uri="{63B3BB69-23CF-44E3-9099-C40C66FF867C}">
                    <a14:compatExt spid="_x0000_s12302"/>
                  </a:ext>
                  <a:ext uri="{FF2B5EF4-FFF2-40B4-BE49-F238E27FC236}">
                    <a16:creationId xmlns:a16="http://schemas.microsoft.com/office/drawing/2014/main" id="{00000000-0008-0000-0300-00000E30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12303" name="Check Box 15" hidden="1">
                <a:extLst>
                  <a:ext uri="{63B3BB69-23CF-44E3-9099-C40C66FF867C}">
                    <a14:compatExt spid="_x0000_s12303"/>
                  </a:ext>
                  <a:ext uri="{FF2B5EF4-FFF2-40B4-BE49-F238E27FC236}">
                    <a16:creationId xmlns:a16="http://schemas.microsoft.com/office/drawing/2014/main" id="{00000000-0008-0000-0300-00000F30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12304" name="Check Box 16" hidden="1">
                <a:extLst>
                  <a:ext uri="{63B3BB69-23CF-44E3-9099-C40C66FF867C}">
                    <a14:compatExt spid="_x0000_s12304"/>
                  </a:ext>
                  <a:ext uri="{FF2B5EF4-FFF2-40B4-BE49-F238E27FC236}">
                    <a16:creationId xmlns:a16="http://schemas.microsoft.com/office/drawing/2014/main" id="{00000000-0008-0000-0300-00001030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12305" name="Check Box 17" hidden="1">
                <a:extLst>
                  <a:ext uri="{63B3BB69-23CF-44E3-9099-C40C66FF867C}">
                    <a14:compatExt spid="_x0000_s12305"/>
                  </a:ext>
                  <a:ext uri="{FF2B5EF4-FFF2-40B4-BE49-F238E27FC236}">
                    <a16:creationId xmlns:a16="http://schemas.microsoft.com/office/drawing/2014/main" id="{00000000-0008-0000-0300-00001130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12306" name="Check Box 18" hidden="1">
                <a:extLst>
                  <a:ext uri="{63B3BB69-23CF-44E3-9099-C40C66FF867C}">
                    <a14:compatExt spid="_x0000_s12306"/>
                  </a:ext>
                  <a:ext uri="{FF2B5EF4-FFF2-40B4-BE49-F238E27FC236}">
                    <a16:creationId xmlns:a16="http://schemas.microsoft.com/office/drawing/2014/main" id="{00000000-0008-0000-0300-00001230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2307" name="Check Box 19" hidden="1">
                <a:extLst>
                  <a:ext uri="{63B3BB69-23CF-44E3-9099-C40C66FF867C}">
                    <a14:compatExt spid="_x0000_s12307"/>
                  </a:ext>
                  <a:ext uri="{FF2B5EF4-FFF2-40B4-BE49-F238E27FC236}">
                    <a16:creationId xmlns:a16="http://schemas.microsoft.com/office/drawing/2014/main" id="{00000000-0008-0000-0300-00001330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12308" name="Check Box 20" hidden="1">
                <a:extLst>
                  <a:ext uri="{63B3BB69-23CF-44E3-9099-C40C66FF867C}">
                    <a14:compatExt spid="_x0000_s12308"/>
                  </a:ext>
                  <a:ext uri="{FF2B5EF4-FFF2-40B4-BE49-F238E27FC236}">
                    <a16:creationId xmlns:a16="http://schemas.microsoft.com/office/drawing/2014/main" id="{00000000-0008-0000-0300-0000143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12309" name="Check Box 21" hidden="1">
                <a:extLst>
                  <a:ext uri="{63B3BB69-23CF-44E3-9099-C40C66FF867C}">
                    <a14:compatExt spid="_x0000_s12309"/>
                  </a:ext>
                  <a:ext uri="{FF2B5EF4-FFF2-40B4-BE49-F238E27FC236}">
                    <a16:creationId xmlns:a16="http://schemas.microsoft.com/office/drawing/2014/main" id="{00000000-0008-0000-0300-00001530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12310" name="Check Box 22" hidden="1">
                <a:extLst>
                  <a:ext uri="{63B3BB69-23CF-44E3-9099-C40C66FF867C}">
                    <a14:compatExt spid="_x0000_s12310"/>
                  </a:ext>
                  <a:ext uri="{FF2B5EF4-FFF2-40B4-BE49-F238E27FC236}">
                    <a16:creationId xmlns:a16="http://schemas.microsoft.com/office/drawing/2014/main" id="{00000000-0008-0000-0300-0000163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12311" name="Check Box 23" hidden="1">
                <a:extLst>
                  <a:ext uri="{63B3BB69-23CF-44E3-9099-C40C66FF867C}">
                    <a14:compatExt spid="_x0000_s12311"/>
                  </a:ext>
                  <a:ext uri="{FF2B5EF4-FFF2-40B4-BE49-F238E27FC236}">
                    <a16:creationId xmlns:a16="http://schemas.microsoft.com/office/drawing/2014/main" id="{00000000-0008-0000-0300-00001730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12312" name="Check Box 24" hidden="1">
                <a:extLst>
                  <a:ext uri="{63B3BB69-23CF-44E3-9099-C40C66FF867C}">
                    <a14:compatExt spid="_x0000_s12312"/>
                  </a:ext>
                  <a:ext uri="{FF2B5EF4-FFF2-40B4-BE49-F238E27FC236}">
                    <a16:creationId xmlns:a16="http://schemas.microsoft.com/office/drawing/2014/main" id="{00000000-0008-0000-0300-00001830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12313" name="Check Box 25" hidden="1">
                <a:extLst>
                  <a:ext uri="{63B3BB69-23CF-44E3-9099-C40C66FF867C}">
                    <a14:compatExt spid="_x0000_s12313"/>
                  </a:ext>
                  <a:ext uri="{FF2B5EF4-FFF2-40B4-BE49-F238E27FC236}">
                    <a16:creationId xmlns:a16="http://schemas.microsoft.com/office/drawing/2014/main" id="{00000000-0008-0000-0300-00001930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12314" name="Check Box 26" hidden="1">
                <a:extLst>
                  <a:ext uri="{63B3BB69-23CF-44E3-9099-C40C66FF867C}">
                    <a14:compatExt spid="_x0000_s12314"/>
                  </a:ext>
                  <a:ext uri="{FF2B5EF4-FFF2-40B4-BE49-F238E27FC236}">
                    <a16:creationId xmlns:a16="http://schemas.microsoft.com/office/drawing/2014/main" id="{00000000-0008-0000-0300-00001A30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12315" name="Check Box 27" hidden="1">
                <a:extLst>
                  <a:ext uri="{63B3BB69-23CF-44E3-9099-C40C66FF867C}">
                    <a14:compatExt spid="_x0000_s12315"/>
                  </a:ext>
                  <a:ext uri="{FF2B5EF4-FFF2-40B4-BE49-F238E27FC236}">
                    <a16:creationId xmlns:a16="http://schemas.microsoft.com/office/drawing/2014/main" id="{00000000-0008-0000-0300-00001B30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12316" name="Check Box 28" hidden="1">
                <a:extLst>
                  <a:ext uri="{63B3BB69-23CF-44E3-9099-C40C66FF867C}">
                    <a14:compatExt spid="_x0000_s12316"/>
                  </a:ext>
                  <a:ext uri="{FF2B5EF4-FFF2-40B4-BE49-F238E27FC236}">
                    <a16:creationId xmlns:a16="http://schemas.microsoft.com/office/drawing/2014/main" id="{00000000-0008-0000-0300-00001C30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12317" name="Check Box 29" hidden="1">
                <a:extLst>
                  <a:ext uri="{63B3BB69-23CF-44E3-9099-C40C66FF867C}">
                    <a14:compatExt spid="_x0000_s12317"/>
                  </a:ext>
                  <a:ext uri="{FF2B5EF4-FFF2-40B4-BE49-F238E27FC236}">
                    <a16:creationId xmlns:a16="http://schemas.microsoft.com/office/drawing/2014/main" id="{00000000-0008-0000-0300-00001D30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12318" name="Check Box 30" hidden="1">
                <a:extLst>
                  <a:ext uri="{63B3BB69-23CF-44E3-9099-C40C66FF867C}">
                    <a14:compatExt spid="_x0000_s12318"/>
                  </a:ext>
                  <a:ext uri="{FF2B5EF4-FFF2-40B4-BE49-F238E27FC236}">
                    <a16:creationId xmlns:a16="http://schemas.microsoft.com/office/drawing/2014/main" id="{00000000-0008-0000-0300-00001E30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12319" name="Check Box 31" hidden="1">
                <a:extLst>
                  <a:ext uri="{63B3BB69-23CF-44E3-9099-C40C66FF867C}">
                    <a14:compatExt spid="_x0000_s12319"/>
                  </a:ext>
                  <a:ext uri="{FF2B5EF4-FFF2-40B4-BE49-F238E27FC236}">
                    <a16:creationId xmlns:a16="http://schemas.microsoft.com/office/drawing/2014/main" id="{00000000-0008-0000-0300-00001F3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12320" name="Check Box 32" hidden="1">
                <a:extLst>
                  <a:ext uri="{63B3BB69-23CF-44E3-9099-C40C66FF867C}">
                    <a14:compatExt spid="_x0000_s12320"/>
                  </a:ext>
                  <a:ext uri="{FF2B5EF4-FFF2-40B4-BE49-F238E27FC236}">
                    <a16:creationId xmlns:a16="http://schemas.microsoft.com/office/drawing/2014/main" id="{00000000-0008-0000-0300-00002030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12321" name="Check Box 33" hidden="1">
                <a:extLst>
                  <a:ext uri="{63B3BB69-23CF-44E3-9099-C40C66FF867C}">
                    <a14:compatExt spid="_x0000_s12321"/>
                  </a:ext>
                  <a:ext uri="{FF2B5EF4-FFF2-40B4-BE49-F238E27FC236}">
                    <a16:creationId xmlns:a16="http://schemas.microsoft.com/office/drawing/2014/main" id="{00000000-0008-0000-0300-0000213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12322" name="Check Box 34" hidden="1">
                <a:extLst>
                  <a:ext uri="{63B3BB69-23CF-44E3-9099-C40C66FF867C}">
                    <a14:compatExt spid="_x0000_s12322"/>
                  </a:ext>
                  <a:ext uri="{FF2B5EF4-FFF2-40B4-BE49-F238E27FC236}">
                    <a16:creationId xmlns:a16="http://schemas.microsoft.com/office/drawing/2014/main" id="{00000000-0008-0000-0300-00002230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12323" name="Check Box 35" hidden="1">
                <a:extLst>
                  <a:ext uri="{63B3BB69-23CF-44E3-9099-C40C66FF867C}">
                    <a14:compatExt spid="_x0000_s12323"/>
                  </a:ext>
                  <a:ext uri="{FF2B5EF4-FFF2-40B4-BE49-F238E27FC236}">
                    <a16:creationId xmlns:a16="http://schemas.microsoft.com/office/drawing/2014/main" id="{00000000-0008-0000-0300-00002330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12324" name="Check Box 36" hidden="1">
                <a:extLst>
                  <a:ext uri="{63B3BB69-23CF-44E3-9099-C40C66FF867C}">
                    <a14:compatExt spid="_x0000_s12324"/>
                  </a:ext>
                  <a:ext uri="{FF2B5EF4-FFF2-40B4-BE49-F238E27FC236}">
                    <a16:creationId xmlns:a16="http://schemas.microsoft.com/office/drawing/2014/main" id="{00000000-0008-0000-0300-00002430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12325" name="Check Box 37" hidden="1">
                <a:extLst>
                  <a:ext uri="{63B3BB69-23CF-44E3-9099-C40C66FF867C}">
                    <a14:compatExt spid="_x0000_s12325"/>
                  </a:ext>
                  <a:ext uri="{FF2B5EF4-FFF2-40B4-BE49-F238E27FC236}">
                    <a16:creationId xmlns:a16="http://schemas.microsoft.com/office/drawing/2014/main" id="{00000000-0008-0000-0300-00002530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12326" name="Check Box 38" hidden="1">
                <a:extLst>
                  <a:ext uri="{63B3BB69-23CF-44E3-9099-C40C66FF867C}">
                    <a14:compatExt spid="_x0000_s12326"/>
                  </a:ext>
                  <a:ext uri="{FF2B5EF4-FFF2-40B4-BE49-F238E27FC236}">
                    <a16:creationId xmlns:a16="http://schemas.microsoft.com/office/drawing/2014/main" id="{00000000-0008-0000-0300-00002630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2327" name="Check Box 39" hidden="1">
                <a:extLst>
                  <a:ext uri="{63B3BB69-23CF-44E3-9099-C40C66FF867C}">
                    <a14:compatExt spid="_x0000_s12327"/>
                  </a:ext>
                  <a:ext uri="{FF2B5EF4-FFF2-40B4-BE49-F238E27FC236}">
                    <a16:creationId xmlns:a16="http://schemas.microsoft.com/office/drawing/2014/main" id="{00000000-0008-0000-0300-00002730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12328" name="Check Box 40" hidden="1">
                <a:extLst>
                  <a:ext uri="{63B3BB69-23CF-44E3-9099-C40C66FF867C}">
                    <a14:compatExt spid="_x0000_s12328"/>
                  </a:ext>
                  <a:ext uri="{FF2B5EF4-FFF2-40B4-BE49-F238E27FC236}">
                    <a16:creationId xmlns:a16="http://schemas.microsoft.com/office/drawing/2014/main" id="{00000000-0008-0000-0300-0000283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12329" name="Check Box 41" hidden="1">
                <a:extLst>
                  <a:ext uri="{63B3BB69-23CF-44E3-9099-C40C66FF867C}">
                    <a14:compatExt spid="_x0000_s12329"/>
                  </a:ext>
                  <a:ext uri="{FF2B5EF4-FFF2-40B4-BE49-F238E27FC236}">
                    <a16:creationId xmlns:a16="http://schemas.microsoft.com/office/drawing/2014/main" id="{00000000-0008-0000-0300-00002930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12330" name="Check Box 42" hidden="1">
                <a:extLst>
                  <a:ext uri="{63B3BB69-23CF-44E3-9099-C40C66FF867C}">
                    <a14:compatExt spid="_x0000_s12330"/>
                  </a:ext>
                  <a:ext uri="{FF2B5EF4-FFF2-40B4-BE49-F238E27FC236}">
                    <a16:creationId xmlns:a16="http://schemas.microsoft.com/office/drawing/2014/main" id="{00000000-0008-0000-0300-00002A3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12331" name="Check Box 43" hidden="1">
                <a:extLst>
                  <a:ext uri="{63B3BB69-23CF-44E3-9099-C40C66FF867C}">
                    <a14:compatExt spid="_x0000_s12331"/>
                  </a:ext>
                  <a:ext uri="{FF2B5EF4-FFF2-40B4-BE49-F238E27FC236}">
                    <a16:creationId xmlns:a16="http://schemas.microsoft.com/office/drawing/2014/main" id="{00000000-0008-0000-0300-00002B30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12332" name="Check Box 44" hidden="1">
                <a:extLst>
                  <a:ext uri="{63B3BB69-23CF-44E3-9099-C40C66FF867C}">
                    <a14:compatExt spid="_x0000_s12332"/>
                  </a:ext>
                  <a:ext uri="{FF2B5EF4-FFF2-40B4-BE49-F238E27FC236}">
                    <a16:creationId xmlns:a16="http://schemas.microsoft.com/office/drawing/2014/main" id="{00000000-0008-0000-0300-00002C30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12333" name="Check Box 45" hidden="1">
                <a:extLst>
                  <a:ext uri="{63B3BB69-23CF-44E3-9099-C40C66FF867C}">
                    <a14:compatExt spid="_x0000_s12333"/>
                  </a:ext>
                  <a:ext uri="{FF2B5EF4-FFF2-40B4-BE49-F238E27FC236}">
                    <a16:creationId xmlns:a16="http://schemas.microsoft.com/office/drawing/2014/main" id="{00000000-0008-0000-0300-00002D30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12334" name="Check Box 46" descr="추락" hidden="1">
                <a:extLst>
                  <a:ext uri="{63B3BB69-23CF-44E3-9099-C40C66FF867C}">
                    <a14:compatExt spid="_x0000_s12334"/>
                  </a:ext>
                  <a:ext uri="{FF2B5EF4-FFF2-40B4-BE49-F238E27FC236}">
                    <a16:creationId xmlns:a16="http://schemas.microsoft.com/office/drawing/2014/main" id="{00000000-0008-0000-0300-00002E30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12335" name="Check Box 47" hidden="1">
                <a:extLst>
                  <a:ext uri="{63B3BB69-23CF-44E3-9099-C40C66FF867C}">
                    <a14:compatExt spid="_x0000_s12335"/>
                  </a:ext>
                  <a:ext uri="{FF2B5EF4-FFF2-40B4-BE49-F238E27FC236}">
                    <a16:creationId xmlns:a16="http://schemas.microsoft.com/office/drawing/2014/main" id="{00000000-0008-0000-0300-00002F30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12336" name="Check Box 48" hidden="1">
                <a:extLst>
                  <a:ext uri="{63B3BB69-23CF-44E3-9099-C40C66FF867C}">
                    <a14:compatExt spid="_x0000_s12336"/>
                  </a:ext>
                  <a:ext uri="{FF2B5EF4-FFF2-40B4-BE49-F238E27FC236}">
                    <a16:creationId xmlns:a16="http://schemas.microsoft.com/office/drawing/2014/main" id="{00000000-0008-0000-0300-00003030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12337" name="Check Box 49" hidden="1">
                <a:extLst>
                  <a:ext uri="{63B3BB69-23CF-44E3-9099-C40C66FF867C}">
                    <a14:compatExt spid="_x0000_s12337"/>
                  </a:ext>
                  <a:ext uri="{FF2B5EF4-FFF2-40B4-BE49-F238E27FC236}">
                    <a16:creationId xmlns:a16="http://schemas.microsoft.com/office/drawing/2014/main" id="{00000000-0008-0000-0300-00003130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12338" name="Check Box 50" hidden="1">
                <a:extLst>
                  <a:ext uri="{63B3BB69-23CF-44E3-9099-C40C66FF867C}">
                    <a14:compatExt spid="_x0000_s12338"/>
                  </a:ext>
                  <a:ext uri="{FF2B5EF4-FFF2-40B4-BE49-F238E27FC236}">
                    <a16:creationId xmlns:a16="http://schemas.microsoft.com/office/drawing/2014/main" id="{00000000-0008-0000-0300-00003230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12339" name="Check Box 51" hidden="1">
                <a:extLst>
                  <a:ext uri="{63B3BB69-23CF-44E3-9099-C40C66FF867C}">
                    <a14:compatExt spid="_x0000_s12339"/>
                  </a:ext>
                  <a:ext uri="{FF2B5EF4-FFF2-40B4-BE49-F238E27FC236}">
                    <a16:creationId xmlns:a16="http://schemas.microsoft.com/office/drawing/2014/main" id="{00000000-0008-0000-0300-00003330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12340" name="Check Box 52" hidden="1">
                <a:extLst>
                  <a:ext uri="{63B3BB69-23CF-44E3-9099-C40C66FF867C}">
                    <a14:compatExt spid="_x0000_s12340"/>
                  </a:ext>
                  <a:ext uri="{FF2B5EF4-FFF2-40B4-BE49-F238E27FC236}">
                    <a16:creationId xmlns:a16="http://schemas.microsoft.com/office/drawing/2014/main" id="{00000000-0008-0000-0300-00003430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11265" name="Check Box 1" hidden="1">
                <a:extLst>
                  <a:ext uri="{63B3BB69-23CF-44E3-9099-C40C66FF867C}">
                    <a14:compatExt spid="_x0000_s11265"/>
                  </a:ext>
                  <a:ext uri="{FF2B5EF4-FFF2-40B4-BE49-F238E27FC236}">
                    <a16:creationId xmlns:a16="http://schemas.microsoft.com/office/drawing/2014/main" id="{00000000-0008-0000-0400-0000012C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11266" name="Check Box 2" hidden="1">
                <a:extLst>
                  <a:ext uri="{63B3BB69-23CF-44E3-9099-C40C66FF867C}">
                    <a14:compatExt spid="_x0000_s11266"/>
                  </a:ext>
                  <a:ext uri="{FF2B5EF4-FFF2-40B4-BE49-F238E27FC236}">
                    <a16:creationId xmlns:a16="http://schemas.microsoft.com/office/drawing/2014/main" id="{00000000-0008-0000-0400-0000022C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11267" name="Check Box 3" hidden="1">
                <a:extLst>
                  <a:ext uri="{63B3BB69-23CF-44E3-9099-C40C66FF867C}">
                    <a14:compatExt spid="_x0000_s11267"/>
                  </a:ext>
                  <a:ext uri="{FF2B5EF4-FFF2-40B4-BE49-F238E27FC236}">
                    <a16:creationId xmlns:a16="http://schemas.microsoft.com/office/drawing/2014/main" id="{00000000-0008-0000-0400-0000032C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11268" name="Check Box 4" hidden="1">
                <a:extLst>
                  <a:ext uri="{63B3BB69-23CF-44E3-9099-C40C66FF867C}">
                    <a14:compatExt spid="_x0000_s11268"/>
                  </a:ext>
                  <a:ext uri="{FF2B5EF4-FFF2-40B4-BE49-F238E27FC236}">
                    <a16:creationId xmlns:a16="http://schemas.microsoft.com/office/drawing/2014/main" id="{00000000-0008-0000-0400-0000042C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11269" name="Check Box 5" hidden="1">
                <a:extLst>
                  <a:ext uri="{63B3BB69-23CF-44E3-9099-C40C66FF867C}">
                    <a14:compatExt spid="_x0000_s11269"/>
                  </a:ext>
                  <a:ext uri="{FF2B5EF4-FFF2-40B4-BE49-F238E27FC236}">
                    <a16:creationId xmlns:a16="http://schemas.microsoft.com/office/drawing/2014/main" id="{00000000-0008-0000-0400-0000052C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11270" name="Check Box 6" hidden="1">
                <a:extLst>
                  <a:ext uri="{63B3BB69-23CF-44E3-9099-C40C66FF867C}">
                    <a14:compatExt spid="_x0000_s11270"/>
                  </a:ext>
                  <a:ext uri="{FF2B5EF4-FFF2-40B4-BE49-F238E27FC236}">
                    <a16:creationId xmlns:a16="http://schemas.microsoft.com/office/drawing/2014/main" id="{00000000-0008-0000-0400-0000062C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11271" name="Check Box 7" hidden="1">
                <a:extLst>
                  <a:ext uri="{63B3BB69-23CF-44E3-9099-C40C66FF867C}">
                    <a14:compatExt spid="_x0000_s11271"/>
                  </a:ext>
                  <a:ext uri="{FF2B5EF4-FFF2-40B4-BE49-F238E27FC236}">
                    <a16:creationId xmlns:a16="http://schemas.microsoft.com/office/drawing/2014/main" id="{00000000-0008-0000-0400-0000072C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11272" name="Check Box 8" hidden="1">
                <a:extLst>
                  <a:ext uri="{63B3BB69-23CF-44E3-9099-C40C66FF867C}">
                    <a14:compatExt spid="_x0000_s11272"/>
                  </a:ext>
                  <a:ext uri="{FF2B5EF4-FFF2-40B4-BE49-F238E27FC236}">
                    <a16:creationId xmlns:a16="http://schemas.microsoft.com/office/drawing/2014/main" id="{00000000-0008-0000-0400-0000082C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11273" name="Check Box 9" hidden="1">
                <a:extLst>
                  <a:ext uri="{63B3BB69-23CF-44E3-9099-C40C66FF867C}">
                    <a14:compatExt spid="_x0000_s11273"/>
                  </a:ext>
                  <a:ext uri="{FF2B5EF4-FFF2-40B4-BE49-F238E27FC236}">
                    <a16:creationId xmlns:a16="http://schemas.microsoft.com/office/drawing/2014/main" id="{00000000-0008-0000-0400-0000092C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11274" name="Check Box 10" hidden="1">
                <a:extLst>
                  <a:ext uri="{63B3BB69-23CF-44E3-9099-C40C66FF867C}">
                    <a14:compatExt spid="_x0000_s11274"/>
                  </a:ext>
                  <a:ext uri="{FF2B5EF4-FFF2-40B4-BE49-F238E27FC236}">
                    <a16:creationId xmlns:a16="http://schemas.microsoft.com/office/drawing/2014/main" id="{00000000-0008-0000-0400-00000A2C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11275" name="Check Box 11" hidden="1">
                <a:extLst>
                  <a:ext uri="{63B3BB69-23CF-44E3-9099-C40C66FF867C}">
                    <a14:compatExt spid="_x0000_s11275"/>
                  </a:ext>
                  <a:ext uri="{FF2B5EF4-FFF2-40B4-BE49-F238E27FC236}">
                    <a16:creationId xmlns:a16="http://schemas.microsoft.com/office/drawing/2014/main" id="{00000000-0008-0000-0400-00000B2C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11276" name="Check Box 12" hidden="1">
                <a:extLst>
                  <a:ext uri="{63B3BB69-23CF-44E3-9099-C40C66FF867C}">
                    <a14:compatExt spid="_x0000_s11276"/>
                  </a:ext>
                  <a:ext uri="{FF2B5EF4-FFF2-40B4-BE49-F238E27FC236}">
                    <a16:creationId xmlns:a16="http://schemas.microsoft.com/office/drawing/2014/main" id="{00000000-0008-0000-0400-00000C2C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11277" name="Check Box 13" hidden="1">
                <a:extLst>
                  <a:ext uri="{63B3BB69-23CF-44E3-9099-C40C66FF867C}">
                    <a14:compatExt spid="_x0000_s11277"/>
                  </a:ext>
                  <a:ext uri="{FF2B5EF4-FFF2-40B4-BE49-F238E27FC236}">
                    <a16:creationId xmlns:a16="http://schemas.microsoft.com/office/drawing/2014/main" id="{00000000-0008-0000-0400-00000D2C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11278" name="Check Box 14" hidden="1">
                <a:extLst>
                  <a:ext uri="{63B3BB69-23CF-44E3-9099-C40C66FF867C}">
                    <a14:compatExt spid="_x0000_s11278"/>
                  </a:ext>
                  <a:ext uri="{FF2B5EF4-FFF2-40B4-BE49-F238E27FC236}">
                    <a16:creationId xmlns:a16="http://schemas.microsoft.com/office/drawing/2014/main" id="{00000000-0008-0000-0400-00000E2C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11279" name="Check Box 15" hidden="1">
                <a:extLst>
                  <a:ext uri="{63B3BB69-23CF-44E3-9099-C40C66FF867C}">
                    <a14:compatExt spid="_x0000_s11279"/>
                  </a:ext>
                  <a:ext uri="{FF2B5EF4-FFF2-40B4-BE49-F238E27FC236}">
                    <a16:creationId xmlns:a16="http://schemas.microsoft.com/office/drawing/2014/main" id="{00000000-0008-0000-0400-00000F2C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11280" name="Check Box 16" hidden="1">
                <a:extLst>
                  <a:ext uri="{63B3BB69-23CF-44E3-9099-C40C66FF867C}">
                    <a14:compatExt spid="_x0000_s11280"/>
                  </a:ext>
                  <a:ext uri="{FF2B5EF4-FFF2-40B4-BE49-F238E27FC236}">
                    <a16:creationId xmlns:a16="http://schemas.microsoft.com/office/drawing/2014/main" id="{00000000-0008-0000-0400-0000102C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11281" name="Check Box 17" hidden="1">
                <a:extLst>
                  <a:ext uri="{63B3BB69-23CF-44E3-9099-C40C66FF867C}">
                    <a14:compatExt spid="_x0000_s11281"/>
                  </a:ext>
                  <a:ext uri="{FF2B5EF4-FFF2-40B4-BE49-F238E27FC236}">
                    <a16:creationId xmlns:a16="http://schemas.microsoft.com/office/drawing/2014/main" id="{00000000-0008-0000-0400-0000112C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11282" name="Check Box 18" hidden="1">
                <a:extLst>
                  <a:ext uri="{63B3BB69-23CF-44E3-9099-C40C66FF867C}">
                    <a14:compatExt spid="_x0000_s11282"/>
                  </a:ext>
                  <a:ext uri="{FF2B5EF4-FFF2-40B4-BE49-F238E27FC236}">
                    <a16:creationId xmlns:a16="http://schemas.microsoft.com/office/drawing/2014/main" id="{00000000-0008-0000-0400-0000122C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1283" name="Check Box 19" hidden="1">
                <a:extLst>
                  <a:ext uri="{63B3BB69-23CF-44E3-9099-C40C66FF867C}">
                    <a14:compatExt spid="_x0000_s11283"/>
                  </a:ext>
                  <a:ext uri="{FF2B5EF4-FFF2-40B4-BE49-F238E27FC236}">
                    <a16:creationId xmlns:a16="http://schemas.microsoft.com/office/drawing/2014/main" id="{00000000-0008-0000-0400-0000132C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11284" name="Check Box 20" hidden="1">
                <a:extLst>
                  <a:ext uri="{63B3BB69-23CF-44E3-9099-C40C66FF867C}">
                    <a14:compatExt spid="_x0000_s11284"/>
                  </a:ext>
                  <a:ext uri="{FF2B5EF4-FFF2-40B4-BE49-F238E27FC236}">
                    <a16:creationId xmlns:a16="http://schemas.microsoft.com/office/drawing/2014/main" id="{00000000-0008-0000-0400-0000142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11285" name="Check Box 21" hidden="1">
                <a:extLst>
                  <a:ext uri="{63B3BB69-23CF-44E3-9099-C40C66FF867C}">
                    <a14:compatExt spid="_x0000_s11285"/>
                  </a:ext>
                  <a:ext uri="{FF2B5EF4-FFF2-40B4-BE49-F238E27FC236}">
                    <a16:creationId xmlns:a16="http://schemas.microsoft.com/office/drawing/2014/main" id="{00000000-0008-0000-0400-0000152C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11286" name="Check Box 22" hidden="1">
                <a:extLst>
                  <a:ext uri="{63B3BB69-23CF-44E3-9099-C40C66FF867C}">
                    <a14:compatExt spid="_x0000_s11286"/>
                  </a:ext>
                  <a:ext uri="{FF2B5EF4-FFF2-40B4-BE49-F238E27FC236}">
                    <a16:creationId xmlns:a16="http://schemas.microsoft.com/office/drawing/2014/main" id="{00000000-0008-0000-0400-0000162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11287" name="Check Box 23" hidden="1">
                <a:extLst>
                  <a:ext uri="{63B3BB69-23CF-44E3-9099-C40C66FF867C}">
                    <a14:compatExt spid="_x0000_s11287"/>
                  </a:ext>
                  <a:ext uri="{FF2B5EF4-FFF2-40B4-BE49-F238E27FC236}">
                    <a16:creationId xmlns:a16="http://schemas.microsoft.com/office/drawing/2014/main" id="{00000000-0008-0000-0400-0000172C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11288" name="Check Box 24" hidden="1">
                <a:extLst>
                  <a:ext uri="{63B3BB69-23CF-44E3-9099-C40C66FF867C}">
                    <a14:compatExt spid="_x0000_s11288"/>
                  </a:ext>
                  <a:ext uri="{FF2B5EF4-FFF2-40B4-BE49-F238E27FC236}">
                    <a16:creationId xmlns:a16="http://schemas.microsoft.com/office/drawing/2014/main" id="{00000000-0008-0000-0400-0000182C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11289" name="Check Box 25" hidden="1">
                <a:extLst>
                  <a:ext uri="{63B3BB69-23CF-44E3-9099-C40C66FF867C}">
                    <a14:compatExt spid="_x0000_s11289"/>
                  </a:ext>
                  <a:ext uri="{FF2B5EF4-FFF2-40B4-BE49-F238E27FC236}">
                    <a16:creationId xmlns:a16="http://schemas.microsoft.com/office/drawing/2014/main" id="{00000000-0008-0000-0400-0000192C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11290" name="Check Box 26" hidden="1">
                <a:extLst>
                  <a:ext uri="{63B3BB69-23CF-44E3-9099-C40C66FF867C}">
                    <a14:compatExt spid="_x0000_s11290"/>
                  </a:ext>
                  <a:ext uri="{FF2B5EF4-FFF2-40B4-BE49-F238E27FC236}">
                    <a16:creationId xmlns:a16="http://schemas.microsoft.com/office/drawing/2014/main" id="{00000000-0008-0000-0400-00001A2C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11291" name="Check Box 27" hidden="1">
                <a:extLst>
                  <a:ext uri="{63B3BB69-23CF-44E3-9099-C40C66FF867C}">
                    <a14:compatExt spid="_x0000_s11291"/>
                  </a:ext>
                  <a:ext uri="{FF2B5EF4-FFF2-40B4-BE49-F238E27FC236}">
                    <a16:creationId xmlns:a16="http://schemas.microsoft.com/office/drawing/2014/main" id="{00000000-0008-0000-0400-00001B2C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11292" name="Check Box 28" hidden="1">
                <a:extLst>
                  <a:ext uri="{63B3BB69-23CF-44E3-9099-C40C66FF867C}">
                    <a14:compatExt spid="_x0000_s11292"/>
                  </a:ext>
                  <a:ext uri="{FF2B5EF4-FFF2-40B4-BE49-F238E27FC236}">
                    <a16:creationId xmlns:a16="http://schemas.microsoft.com/office/drawing/2014/main" id="{00000000-0008-0000-0400-00001C2C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11293" name="Check Box 29" hidden="1">
                <a:extLst>
                  <a:ext uri="{63B3BB69-23CF-44E3-9099-C40C66FF867C}">
                    <a14:compatExt spid="_x0000_s11293"/>
                  </a:ext>
                  <a:ext uri="{FF2B5EF4-FFF2-40B4-BE49-F238E27FC236}">
                    <a16:creationId xmlns:a16="http://schemas.microsoft.com/office/drawing/2014/main" id="{00000000-0008-0000-0400-00001D2C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11294" name="Check Box 30" hidden="1">
                <a:extLst>
                  <a:ext uri="{63B3BB69-23CF-44E3-9099-C40C66FF867C}">
                    <a14:compatExt spid="_x0000_s11294"/>
                  </a:ext>
                  <a:ext uri="{FF2B5EF4-FFF2-40B4-BE49-F238E27FC236}">
                    <a16:creationId xmlns:a16="http://schemas.microsoft.com/office/drawing/2014/main" id="{00000000-0008-0000-0400-00001E2C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11295" name="Check Box 31" hidden="1">
                <a:extLst>
                  <a:ext uri="{63B3BB69-23CF-44E3-9099-C40C66FF867C}">
                    <a14:compatExt spid="_x0000_s11295"/>
                  </a:ext>
                  <a:ext uri="{FF2B5EF4-FFF2-40B4-BE49-F238E27FC236}">
                    <a16:creationId xmlns:a16="http://schemas.microsoft.com/office/drawing/2014/main" id="{00000000-0008-0000-0400-00001F2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11296" name="Check Box 32" hidden="1">
                <a:extLst>
                  <a:ext uri="{63B3BB69-23CF-44E3-9099-C40C66FF867C}">
                    <a14:compatExt spid="_x0000_s11296"/>
                  </a:ext>
                  <a:ext uri="{FF2B5EF4-FFF2-40B4-BE49-F238E27FC236}">
                    <a16:creationId xmlns:a16="http://schemas.microsoft.com/office/drawing/2014/main" id="{00000000-0008-0000-0400-0000202C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11297" name="Check Box 33" hidden="1">
                <a:extLst>
                  <a:ext uri="{63B3BB69-23CF-44E3-9099-C40C66FF867C}">
                    <a14:compatExt spid="_x0000_s11297"/>
                  </a:ext>
                  <a:ext uri="{FF2B5EF4-FFF2-40B4-BE49-F238E27FC236}">
                    <a16:creationId xmlns:a16="http://schemas.microsoft.com/office/drawing/2014/main" id="{00000000-0008-0000-0400-0000212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11298" name="Check Box 34" hidden="1">
                <a:extLst>
                  <a:ext uri="{63B3BB69-23CF-44E3-9099-C40C66FF867C}">
                    <a14:compatExt spid="_x0000_s11298"/>
                  </a:ext>
                  <a:ext uri="{FF2B5EF4-FFF2-40B4-BE49-F238E27FC236}">
                    <a16:creationId xmlns:a16="http://schemas.microsoft.com/office/drawing/2014/main" id="{00000000-0008-0000-0400-0000222C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11299" name="Check Box 35" hidden="1">
                <a:extLst>
                  <a:ext uri="{63B3BB69-23CF-44E3-9099-C40C66FF867C}">
                    <a14:compatExt spid="_x0000_s11299"/>
                  </a:ext>
                  <a:ext uri="{FF2B5EF4-FFF2-40B4-BE49-F238E27FC236}">
                    <a16:creationId xmlns:a16="http://schemas.microsoft.com/office/drawing/2014/main" id="{00000000-0008-0000-0400-0000232C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11300" name="Check Box 36" hidden="1">
                <a:extLst>
                  <a:ext uri="{63B3BB69-23CF-44E3-9099-C40C66FF867C}">
                    <a14:compatExt spid="_x0000_s11300"/>
                  </a:ext>
                  <a:ext uri="{FF2B5EF4-FFF2-40B4-BE49-F238E27FC236}">
                    <a16:creationId xmlns:a16="http://schemas.microsoft.com/office/drawing/2014/main" id="{00000000-0008-0000-0400-0000242C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11301" name="Check Box 37" hidden="1">
                <a:extLst>
                  <a:ext uri="{63B3BB69-23CF-44E3-9099-C40C66FF867C}">
                    <a14:compatExt spid="_x0000_s11301"/>
                  </a:ext>
                  <a:ext uri="{FF2B5EF4-FFF2-40B4-BE49-F238E27FC236}">
                    <a16:creationId xmlns:a16="http://schemas.microsoft.com/office/drawing/2014/main" id="{00000000-0008-0000-0400-0000252C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11302" name="Check Box 38" hidden="1">
                <a:extLst>
                  <a:ext uri="{63B3BB69-23CF-44E3-9099-C40C66FF867C}">
                    <a14:compatExt spid="_x0000_s11302"/>
                  </a:ext>
                  <a:ext uri="{FF2B5EF4-FFF2-40B4-BE49-F238E27FC236}">
                    <a16:creationId xmlns:a16="http://schemas.microsoft.com/office/drawing/2014/main" id="{00000000-0008-0000-0400-0000262C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1303" name="Check Box 39" hidden="1">
                <a:extLst>
                  <a:ext uri="{63B3BB69-23CF-44E3-9099-C40C66FF867C}">
                    <a14:compatExt spid="_x0000_s11303"/>
                  </a:ext>
                  <a:ext uri="{FF2B5EF4-FFF2-40B4-BE49-F238E27FC236}">
                    <a16:creationId xmlns:a16="http://schemas.microsoft.com/office/drawing/2014/main" id="{00000000-0008-0000-0400-0000272C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11304" name="Check Box 40" hidden="1">
                <a:extLst>
                  <a:ext uri="{63B3BB69-23CF-44E3-9099-C40C66FF867C}">
                    <a14:compatExt spid="_x0000_s11304"/>
                  </a:ext>
                  <a:ext uri="{FF2B5EF4-FFF2-40B4-BE49-F238E27FC236}">
                    <a16:creationId xmlns:a16="http://schemas.microsoft.com/office/drawing/2014/main" id="{00000000-0008-0000-0400-0000282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11305" name="Check Box 41" hidden="1">
                <a:extLst>
                  <a:ext uri="{63B3BB69-23CF-44E3-9099-C40C66FF867C}">
                    <a14:compatExt spid="_x0000_s11305"/>
                  </a:ext>
                  <a:ext uri="{FF2B5EF4-FFF2-40B4-BE49-F238E27FC236}">
                    <a16:creationId xmlns:a16="http://schemas.microsoft.com/office/drawing/2014/main" id="{00000000-0008-0000-0400-0000292C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11306" name="Check Box 42" hidden="1">
                <a:extLst>
                  <a:ext uri="{63B3BB69-23CF-44E3-9099-C40C66FF867C}">
                    <a14:compatExt spid="_x0000_s11306"/>
                  </a:ext>
                  <a:ext uri="{FF2B5EF4-FFF2-40B4-BE49-F238E27FC236}">
                    <a16:creationId xmlns:a16="http://schemas.microsoft.com/office/drawing/2014/main" id="{00000000-0008-0000-0400-00002A2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11307" name="Check Box 43" hidden="1">
                <a:extLst>
                  <a:ext uri="{63B3BB69-23CF-44E3-9099-C40C66FF867C}">
                    <a14:compatExt spid="_x0000_s11307"/>
                  </a:ext>
                  <a:ext uri="{FF2B5EF4-FFF2-40B4-BE49-F238E27FC236}">
                    <a16:creationId xmlns:a16="http://schemas.microsoft.com/office/drawing/2014/main" id="{00000000-0008-0000-0400-00002B2C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11308" name="Check Box 44" hidden="1">
                <a:extLst>
                  <a:ext uri="{63B3BB69-23CF-44E3-9099-C40C66FF867C}">
                    <a14:compatExt spid="_x0000_s11308"/>
                  </a:ext>
                  <a:ext uri="{FF2B5EF4-FFF2-40B4-BE49-F238E27FC236}">
                    <a16:creationId xmlns:a16="http://schemas.microsoft.com/office/drawing/2014/main" id="{00000000-0008-0000-0400-00002C2C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11309" name="Check Box 45" hidden="1">
                <a:extLst>
                  <a:ext uri="{63B3BB69-23CF-44E3-9099-C40C66FF867C}">
                    <a14:compatExt spid="_x0000_s11309"/>
                  </a:ext>
                  <a:ext uri="{FF2B5EF4-FFF2-40B4-BE49-F238E27FC236}">
                    <a16:creationId xmlns:a16="http://schemas.microsoft.com/office/drawing/2014/main" id="{00000000-0008-0000-0400-00002D2C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11310" name="Check Box 46" descr="추락" hidden="1">
                <a:extLst>
                  <a:ext uri="{63B3BB69-23CF-44E3-9099-C40C66FF867C}">
                    <a14:compatExt spid="_x0000_s11310"/>
                  </a:ext>
                  <a:ext uri="{FF2B5EF4-FFF2-40B4-BE49-F238E27FC236}">
                    <a16:creationId xmlns:a16="http://schemas.microsoft.com/office/drawing/2014/main" id="{00000000-0008-0000-0400-00002E2C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11311" name="Check Box 47" hidden="1">
                <a:extLst>
                  <a:ext uri="{63B3BB69-23CF-44E3-9099-C40C66FF867C}">
                    <a14:compatExt spid="_x0000_s11311"/>
                  </a:ext>
                  <a:ext uri="{FF2B5EF4-FFF2-40B4-BE49-F238E27FC236}">
                    <a16:creationId xmlns:a16="http://schemas.microsoft.com/office/drawing/2014/main" id="{00000000-0008-0000-0400-00002F2C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11312" name="Check Box 48" hidden="1">
                <a:extLst>
                  <a:ext uri="{63B3BB69-23CF-44E3-9099-C40C66FF867C}">
                    <a14:compatExt spid="_x0000_s11312"/>
                  </a:ext>
                  <a:ext uri="{FF2B5EF4-FFF2-40B4-BE49-F238E27FC236}">
                    <a16:creationId xmlns:a16="http://schemas.microsoft.com/office/drawing/2014/main" id="{00000000-0008-0000-0400-0000302C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11313" name="Check Box 49" hidden="1">
                <a:extLst>
                  <a:ext uri="{63B3BB69-23CF-44E3-9099-C40C66FF867C}">
                    <a14:compatExt spid="_x0000_s11313"/>
                  </a:ext>
                  <a:ext uri="{FF2B5EF4-FFF2-40B4-BE49-F238E27FC236}">
                    <a16:creationId xmlns:a16="http://schemas.microsoft.com/office/drawing/2014/main" id="{00000000-0008-0000-0400-0000312C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11314" name="Check Box 50" hidden="1">
                <a:extLst>
                  <a:ext uri="{63B3BB69-23CF-44E3-9099-C40C66FF867C}">
                    <a14:compatExt spid="_x0000_s11314"/>
                  </a:ext>
                  <a:ext uri="{FF2B5EF4-FFF2-40B4-BE49-F238E27FC236}">
                    <a16:creationId xmlns:a16="http://schemas.microsoft.com/office/drawing/2014/main" id="{00000000-0008-0000-0400-0000322C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11315" name="Check Box 51" hidden="1">
                <a:extLst>
                  <a:ext uri="{63B3BB69-23CF-44E3-9099-C40C66FF867C}">
                    <a14:compatExt spid="_x0000_s11315"/>
                  </a:ext>
                  <a:ext uri="{FF2B5EF4-FFF2-40B4-BE49-F238E27FC236}">
                    <a16:creationId xmlns:a16="http://schemas.microsoft.com/office/drawing/2014/main" id="{00000000-0008-0000-0400-0000332C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11316" name="Check Box 52" hidden="1">
                <a:extLst>
                  <a:ext uri="{63B3BB69-23CF-44E3-9099-C40C66FF867C}">
                    <a14:compatExt spid="_x0000_s11316"/>
                  </a:ext>
                  <a:ext uri="{FF2B5EF4-FFF2-40B4-BE49-F238E27FC236}">
                    <a16:creationId xmlns:a16="http://schemas.microsoft.com/office/drawing/2014/main" id="{00000000-0008-0000-0400-0000342C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10241" name="Check Box 1" hidden="1">
                <a:extLst>
                  <a:ext uri="{63B3BB69-23CF-44E3-9099-C40C66FF867C}">
                    <a14:compatExt spid="_x0000_s10241"/>
                  </a:ext>
                  <a:ext uri="{FF2B5EF4-FFF2-40B4-BE49-F238E27FC236}">
                    <a16:creationId xmlns:a16="http://schemas.microsoft.com/office/drawing/2014/main" id="{00000000-0008-0000-0500-00000128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10242" name="Check Box 2" hidden="1">
                <a:extLst>
                  <a:ext uri="{63B3BB69-23CF-44E3-9099-C40C66FF867C}">
                    <a14:compatExt spid="_x0000_s10242"/>
                  </a:ext>
                  <a:ext uri="{FF2B5EF4-FFF2-40B4-BE49-F238E27FC236}">
                    <a16:creationId xmlns:a16="http://schemas.microsoft.com/office/drawing/2014/main" id="{00000000-0008-0000-0500-00000228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10243" name="Check Box 3" hidden="1">
                <a:extLst>
                  <a:ext uri="{63B3BB69-23CF-44E3-9099-C40C66FF867C}">
                    <a14:compatExt spid="_x0000_s10243"/>
                  </a:ext>
                  <a:ext uri="{FF2B5EF4-FFF2-40B4-BE49-F238E27FC236}">
                    <a16:creationId xmlns:a16="http://schemas.microsoft.com/office/drawing/2014/main" id="{00000000-0008-0000-0500-00000328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10244" name="Check Box 4" hidden="1">
                <a:extLst>
                  <a:ext uri="{63B3BB69-23CF-44E3-9099-C40C66FF867C}">
                    <a14:compatExt spid="_x0000_s10244"/>
                  </a:ext>
                  <a:ext uri="{FF2B5EF4-FFF2-40B4-BE49-F238E27FC236}">
                    <a16:creationId xmlns:a16="http://schemas.microsoft.com/office/drawing/2014/main" id="{00000000-0008-0000-0500-00000428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10245" name="Check Box 5" hidden="1">
                <a:extLst>
                  <a:ext uri="{63B3BB69-23CF-44E3-9099-C40C66FF867C}">
                    <a14:compatExt spid="_x0000_s10245"/>
                  </a:ext>
                  <a:ext uri="{FF2B5EF4-FFF2-40B4-BE49-F238E27FC236}">
                    <a16:creationId xmlns:a16="http://schemas.microsoft.com/office/drawing/2014/main" id="{00000000-0008-0000-0500-00000528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10246" name="Check Box 6" hidden="1">
                <a:extLst>
                  <a:ext uri="{63B3BB69-23CF-44E3-9099-C40C66FF867C}">
                    <a14:compatExt spid="_x0000_s10246"/>
                  </a:ext>
                  <a:ext uri="{FF2B5EF4-FFF2-40B4-BE49-F238E27FC236}">
                    <a16:creationId xmlns:a16="http://schemas.microsoft.com/office/drawing/2014/main" id="{00000000-0008-0000-0500-00000628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10247" name="Check Box 7" hidden="1">
                <a:extLst>
                  <a:ext uri="{63B3BB69-23CF-44E3-9099-C40C66FF867C}">
                    <a14:compatExt spid="_x0000_s10247"/>
                  </a:ext>
                  <a:ext uri="{FF2B5EF4-FFF2-40B4-BE49-F238E27FC236}">
                    <a16:creationId xmlns:a16="http://schemas.microsoft.com/office/drawing/2014/main" id="{00000000-0008-0000-0500-00000728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10248" name="Check Box 8" hidden="1">
                <a:extLst>
                  <a:ext uri="{63B3BB69-23CF-44E3-9099-C40C66FF867C}">
                    <a14:compatExt spid="_x0000_s10248"/>
                  </a:ext>
                  <a:ext uri="{FF2B5EF4-FFF2-40B4-BE49-F238E27FC236}">
                    <a16:creationId xmlns:a16="http://schemas.microsoft.com/office/drawing/2014/main" id="{00000000-0008-0000-0500-00000828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10249" name="Check Box 9" hidden="1">
                <a:extLst>
                  <a:ext uri="{63B3BB69-23CF-44E3-9099-C40C66FF867C}">
                    <a14:compatExt spid="_x0000_s10249"/>
                  </a:ext>
                  <a:ext uri="{FF2B5EF4-FFF2-40B4-BE49-F238E27FC236}">
                    <a16:creationId xmlns:a16="http://schemas.microsoft.com/office/drawing/2014/main" id="{00000000-0008-0000-0500-00000928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10250" name="Check Box 10" hidden="1">
                <a:extLst>
                  <a:ext uri="{63B3BB69-23CF-44E3-9099-C40C66FF867C}">
                    <a14:compatExt spid="_x0000_s10250"/>
                  </a:ext>
                  <a:ext uri="{FF2B5EF4-FFF2-40B4-BE49-F238E27FC236}">
                    <a16:creationId xmlns:a16="http://schemas.microsoft.com/office/drawing/2014/main" id="{00000000-0008-0000-0500-00000A28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10251" name="Check Box 11" hidden="1">
                <a:extLst>
                  <a:ext uri="{63B3BB69-23CF-44E3-9099-C40C66FF867C}">
                    <a14:compatExt spid="_x0000_s10251"/>
                  </a:ext>
                  <a:ext uri="{FF2B5EF4-FFF2-40B4-BE49-F238E27FC236}">
                    <a16:creationId xmlns:a16="http://schemas.microsoft.com/office/drawing/2014/main" id="{00000000-0008-0000-0500-00000B28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10252" name="Check Box 12" hidden="1">
                <a:extLst>
                  <a:ext uri="{63B3BB69-23CF-44E3-9099-C40C66FF867C}">
                    <a14:compatExt spid="_x0000_s10252"/>
                  </a:ext>
                  <a:ext uri="{FF2B5EF4-FFF2-40B4-BE49-F238E27FC236}">
                    <a16:creationId xmlns:a16="http://schemas.microsoft.com/office/drawing/2014/main" id="{00000000-0008-0000-0500-00000C28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10253" name="Check Box 13" hidden="1">
                <a:extLst>
                  <a:ext uri="{63B3BB69-23CF-44E3-9099-C40C66FF867C}">
                    <a14:compatExt spid="_x0000_s10253"/>
                  </a:ext>
                  <a:ext uri="{FF2B5EF4-FFF2-40B4-BE49-F238E27FC236}">
                    <a16:creationId xmlns:a16="http://schemas.microsoft.com/office/drawing/2014/main" id="{00000000-0008-0000-0500-00000D28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10254" name="Check Box 14" hidden="1">
                <a:extLst>
                  <a:ext uri="{63B3BB69-23CF-44E3-9099-C40C66FF867C}">
                    <a14:compatExt spid="_x0000_s10254"/>
                  </a:ext>
                  <a:ext uri="{FF2B5EF4-FFF2-40B4-BE49-F238E27FC236}">
                    <a16:creationId xmlns:a16="http://schemas.microsoft.com/office/drawing/2014/main" id="{00000000-0008-0000-0500-00000E28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10255" name="Check Box 15" hidden="1">
                <a:extLst>
                  <a:ext uri="{63B3BB69-23CF-44E3-9099-C40C66FF867C}">
                    <a14:compatExt spid="_x0000_s10255"/>
                  </a:ext>
                  <a:ext uri="{FF2B5EF4-FFF2-40B4-BE49-F238E27FC236}">
                    <a16:creationId xmlns:a16="http://schemas.microsoft.com/office/drawing/2014/main" id="{00000000-0008-0000-0500-00000F28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10256" name="Check Box 16" hidden="1">
                <a:extLst>
                  <a:ext uri="{63B3BB69-23CF-44E3-9099-C40C66FF867C}">
                    <a14:compatExt spid="_x0000_s10256"/>
                  </a:ext>
                  <a:ext uri="{FF2B5EF4-FFF2-40B4-BE49-F238E27FC236}">
                    <a16:creationId xmlns:a16="http://schemas.microsoft.com/office/drawing/2014/main" id="{00000000-0008-0000-0500-00001028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10257" name="Check Box 17" hidden="1">
                <a:extLst>
                  <a:ext uri="{63B3BB69-23CF-44E3-9099-C40C66FF867C}">
                    <a14:compatExt spid="_x0000_s10257"/>
                  </a:ext>
                  <a:ext uri="{FF2B5EF4-FFF2-40B4-BE49-F238E27FC236}">
                    <a16:creationId xmlns:a16="http://schemas.microsoft.com/office/drawing/2014/main" id="{00000000-0008-0000-0500-00001128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10258" name="Check Box 18" hidden="1">
                <a:extLst>
                  <a:ext uri="{63B3BB69-23CF-44E3-9099-C40C66FF867C}">
                    <a14:compatExt spid="_x0000_s10258"/>
                  </a:ext>
                  <a:ext uri="{FF2B5EF4-FFF2-40B4-BE49-F238E27FC236}">
                    <a16:creationId xmlns:a16="http://schemas.microsoft.com/office/drawing/2014/main" id="{00000000-0008-0000-0500-00001228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0259" name="Check Box 19" hidden="1">
                <a:extLst>
                  <a:ext uri="{63B3BB69-23CF-44E3-9099-C40C66FF867C}">
                    <a14:compatExt spid="_x0000_s10259"/>
                  </a:ext>
                  <a:ext uri="{FF2B5EF4-FFF2-40B4-BE49-F238E27FC236}">
                    <a16:creationId xmlns:a16="http://schemas.microsoft.com/office/drawing/2014/main" id="{00000000-0008-0000-0500-00001328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10260" name="Check Box 20" hidden="1">
                <a:extLst>
                  <a:ext uri="{63B3BB69-23CF-44E3-9099-C40C66FF867C}">
                    <a14:compatExt spid="_x0000_s10260"/>
                  </a:ext>
                  <a:ext uri="{FF2B5EF4-FFF2-40B4-BE49-F238E27FC236}">
                    <a16:creationId xmlns:a16="http://schemas.microsoft.com/office/drawing/2014/main" id="{00000000-0008-0000-0500-00001428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10261" name="Check Box 21" hidden="1">
                <a:extLst>
                  <a:ext uri="{63B3BB69-23CF-44E3-9099-C40C66FF867C}">
                    <a14:compatExt spid="_x0000_s10261"/>
                  </a:ext>
                  <a:ext uri="{FF2B5EF4-FFF2-40B4-BE49-F238E27FC236}">
                    <a16:creationId xmlns:a16="http://schemas.microsoft.com/office/drawing/2014/main" id="{00000000-0008-0000-0500-00001528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10262" name="Check Box 22" hidden="1">
                <a:extLst>
                  <a:ext uri="{63B3BB69-23CF-44E3-9099-C40C66FF867C}">
                    <a14:compatExt spid="_x0000_s10262"/>
                  </a:ext>
                  <a:ext uri="{FF2B5EF4-FFF2-40B4-BE49-F238E27FC236}">
                    <a16:creationId xmlns:a16="http://schemas.microsoft.com/office/drawing/2014/main" id="{00000000-0008-0000-0500-00001628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10263" name="Check Box 23" hidden="1">
                <a:extLst>
                  <a:ext uri="{63B3BB69-23CF-44E3-9099-C40C66FF867C}">
                    <a14:compatExt spid="_x0000_s10263"/>
                  </a:ext>
                  <a:ext uri="{FF2B5EF4-FFF2-40B4-BE49-F238E27FC236}">
                    <a16:creationId xmlns:a16="http://schemas.microsoft.com/office/drawing/2014/main" id="{00000000-0008-0000-0500-00001728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10264" name="Check Box 24" hidden="1">
                <a:extLst>
                  <a:ext uri="{63B3BB69-23CF-44E3-9099-C40C66FF867C}">
                    <a14:compatExt spid="_x0000_s10264"/>
                  </a:ext>
                  <a:ext uri="{FF2B5EF4-FFF2-40B4-BE49-F238E27FC236}">
                    <a16:creationId xmlns:a16="http://schemas.microsoft.com/office/drawing/2014/main" id="{00000000-0008-0000-0500-00001828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10265" name="Check Box 25" hidden="1">
                <a:extLst>
                  <a:ext uri="{63B3BB69-23CF-44E3-9099-C40C66FF867C}">
                    <a14:compatExt spid="_x0000_s10265"/>
                  </a:ext>
                  <a:ext uri="{FF2B5EF4-FFF2-40B4-BE49-F238E27FC236}">
                    <a16:creationId xmlns:a16="http://schemas.microsoft.com/office/drawing/2014/main" id="{00000000-0008-0000-0500-00001928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10266" name="Check Box 26" hidden="1">
                <a:extLst>
                  <a:ext uri="{63B3BB69-23CF-44E3-9099-C40C66FF867C}">
                    <a14:compatExt spid="_x0000_s10266"/>
                  </a:ext>
                  <a:ext uri="{FF2B5EF4-FFF2-40B4-BE49-F238E27FC236}">
                    <a16:creationId xmlns:a16="http://schemas.microsoft.com/office/drawing/2014/main" id="{00000000-0008-0000-0500-00001A28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10267" name="Check Box 27" hidden="1">
                <a:extLst>
                  <a:ext uri="{63B3BB69-23CF-44E3-9099-C40C66FF867C}">
                    <a14:compatExt spid="_x0000_s10267"/>
                  </a:ext>
                  <a:ext uri="{FF2B5EF4-FFF2-40B4-BE49-F238E27FC236}">
                    <a16:creationId xmlns:a16="http://schemas.microsoft.com/office/drawing/2014/main" id="{00000000-0008-0000-0500-00001B28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10268" name="Check Box 28" hidden="1">
                <a:extLst>
                  <a:ext uri="{63B3BB69-23CF-44E3-9099-C40C66FF867C}">
                    <a14:compatExt spid="_x0000_s10268"/>
                  </a:ext>
                  <a:ext uri="{FF2B5EF4-FFF2-40B4-BE49-F238E27FC236}">
                    <a16:creationId xmlns:a16="http://schemas.microsoft.com/office/drawing/2014/main" id="{00000000-0008-0000-0500-00001C28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10269" name="Check Box 29" hidden="1">
                <a:extLst>
                  <a:ext uri="{63B3BB69-23CF-44E3-9099-C40C66FF867C}">
                    <a14:compatExt spid="_x0000_s10269"/>
                  </a:ext>
                  <a:ext uri="{FF2B5EF4-FFF2-40B4-BE49-F238E27FC236}">
                    <a16:creationId xmlns:a16="http://schemas.microsoft.com/office/drawing/2014/main" id="{00000000-0008-0000-0500-00001D28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10270" name="Check Box 30" hidden="1">
                <a:extLst>
                  <a:ext uri="{63B3BB69-23CF-44E3-9099-C40C66FF867C}">
                    <a14:compatExt spid="_x0000_s10270"/>
                  </a:ext>
                  <a:ext uri="{FF2B5EF4-FFF2-40B4-BE49-F238E27FC236}">
                    <a16:creationId xmlns:a16="http://schemas.microsoft.com/office/drawing/2014/main" id="{00000000-0008-0000-0500-00001E28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10271" name="Check Box 31" hidden="1">
                <a:extLst>
                  <a:ext uri="{63B3BB69-23CF-44E3-9099-C40C66FF867C}">
                    <a14:compatExt spid="_x0000_s10271"/>
                  </a:ext>
                  <a:ext uri="{FF2B5EF4-FFF2-40B4-BE49-F238E27FC236}">
                    <a16:creationId xmlns:a16="http://schemas.microsoft.com/office/drawing/2014/main" id="{00000000-0008-0000-0500-00001F28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10272" name="Check Box 32" hidden="1">
                <a:extLst>
                  <a:ext uri="{63B3BB69-23CF-44E3-9099-C40C66FF867C}">
                    <a14:compatExt spid="_x0000_s10272"/>
                  </a:ext>
                  <a:ext uri="{FF2B5EF4-FFF2-40B4-BE49-F238E27FC236}">
                    <a16:creationId xmlns:a16="http://schemas.microsoft.com/office/drawing/2014/main" id="{00000000-0008-0000-0500-00002028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10273" name="Check Box 33" hidden="1">
                <a:extLst>
                  <a:ext uri="{63B3BB69-23CF-44E3-9099-C40C66FF867C}">
                    <a14:compatExt spid="_x0000_s10273"/>
                  </a:ext>
                  <a:ext uri="{FF2B5EF4-FFF2-40B4-BE49-F238E27FC236}">
                    <a16:creationId xmlns:a16="http://schemas.microsoft.com/office/drawing/2014/main" id="{00000000-0008-0000-0500-00002128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10274" name="Check Box 34" hidden="1">
                <a:extLst>
                  <a:ext uri="{63B3BB69-23CF-44E3-9099-C40C66FF867C}">
                    <a14:compatExt spid="_x0000_s10274"/>
                  </a:ext>
                  <a:ext uri="{FF2B5EF4-FFF2-40B4-BE49-F238E27FC236}">
                    <a16:creationId xmlns:a16="http://schemas.microsoft.com/office/drawing/2014/main" id="{00000000-0008-0000-0500-00002228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10275" name="Check Box 35" hidden="1">
                <a:extLst>
                  <a:ext uri="{63B3BB69-23CF-44E3-9099-C40C66FF867C}">
                    <a14:compatExt spid="_x0000_s10275"/>
                  </a:ext>
                  <a:ext uri="{FF2B5EF4-FFF2-40B4-BE49-F238E27FC236}">
                    <a16:creationId xmlns:a16="http://schemas.microsoft.com/office/drawing/2014/main" id="{00000000-0008-0000-0500-00002328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10276" name="Check Box 36" hidden="1">
                <a:extLst>
                  <a:ext uri="{63B3BB69-23CF-44E3-9099-C40C66FF867C}">
                    <a14:compatExt spid="_x0000_s10276"/>
                  </a:ext>
                  <a:ext uri="{FF2B5EF4-FFF2-40B4-BE49-F238E27FC236}">
                    <a16:creationId xmlns:a16="http://schemas.microsoft.com/office/drawing/2014/main" id="{00000000-0008-0000-0500-00002428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10277" name="Check Box 37" hidden="1">
                <a:extLst>
                  <a:ext uri="{63B3BB69-23CF-44E3-9099-C40C66FF867C}">
                    <a14:compatExt spid="_x0000_s10277"/>
                  </a:ext>
                  <a:ext uri="{FF2B5EF4-FFF2-40B4-BE49-F238E27FC236}">
                    <a16:creationId xmlns:a16="http://schemas.microsoft.com/office/drawing/2014/main" id="{00000000-0008-0000-0500-00002528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10278" name="Check Box 38" hidden="1">
                <a:extLst>
                  <a:ext uri="{63B3BB69-23CF-44E3-9099-C40C66FF867C}">
                    <a14:compatExt spid="_x0000_s10278"/>
                  </a:ext>
                  <a:ext uri="{FF2B5EF4-FFF2-40B4-BE49-F238E27FC236}">
                    <a16:creationId xmlns:a16="http://schemas.microsoft.com/office/drawing/2014/main" id="{00000000-0008-0000-0500-00002628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10279" name="Check Box 39" hidden="1">
                <a:extLst>
                  <a:ext uri="{63B3BB69-23CF-44E3-9099-C40C66FF867C}">
                    <a14:compatExt spid="_x0000_s10279"/>
                  </a:ext>
                  <a:ext uri="{FF2B5EF4-FFF2-40B4-BE49-F238E27FC236}">
                    <a16:creationId xmlns:a16="http://schemas.microsoft.com/office/drawing/2014/main" id="{00000000-0008-0000-0500-00002728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10280" name="Check Box 40" hidden="1">
                <a:extLst>
                  <a:ext uri="{63B3BB69-23CF-44E3-9099-C40C66FF867C}">
                    <a14:compatExt spid="_x0000_s10280"/>
                  </a:ext>
                  <a:ext uri="{FF2B5EF4-FFF2-40B4-BE49-F238E27FC236}">
                    <a16:creationId xmlns:a16="http://schemas.microsoft.com/office/drawing/2014/main" id="{00000000-0008-0000-0500-00002828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10281" name="Check Box 41" hidden="1">
                <a:extLst>
                  <a:ext uri="{63B3BB69-23CF-44E3-9099-C40C66FF867C}">
                    <a14:compatExt spid="_x0000_s10281"/>
                  </a:ext>
                  <a:ext uri="{FF2B5EF4-FFF2-40B4-BE49-F238E27FC236}">
                    <a16:creationId xmlns:a16="http://schemas.microsoft.com/office/drawing/2014/main" id="{00000000-0008-0000-0500-00002928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10282" name="Check Box 42" hidden="1">
                <a:extLst>
                  <a:ext uri="{63B3BB69-23CF-44E3-9099-C40C66FF867C}">
                    <a14:compatExt spid="_x0000_s10282"/>
                  </a:ext>
                  <a:ext uri="{FF2B5EF4-FFF2-40B4-BE49-F238E27FC236}">
                    <a16:creationId xmlns:a16="http://schemas.microsoft.com/office/drawing/2014/main" id="{00000000-0008-0000-0500-00002A28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10283" name="Check Box 43" hidden="1">
                <a:extLst>
                  <a:ext uri="{63B3BB69-23CF-44E3-9099-C40C66FF867C}">
                    <a14:compatExt spid="_x0000_s10283"/>
                  </a:ext>
                  <a:ext uri="{FF2B5EF4-FFF2-40B4-BE49-F238E27FC236}">
                    <a16:creationId xmlns:a16="http://schemas.microsoft.com/office/drawing/2014/main" id="{00000000-0008-0000-0500-00002B28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10284" name="Check Box 44" hidden="1">
                <a:extLst>
                  <a:ext uri="{63B3BB69-23CF-44E3-9099-C40C66FF867C}">
                    <a14:compatExt spid="_x0000_s10284"/>
                  </a:ext>
                  <a:ext uri="{FF2B5EF4-FFF2-40B4-BE49-F238E27FC236}">
                    <a16:creationId xmlns:a16="http://schemas.microsoft.com/office/drawing/2014/main" id="{00000000-0008-0000-0500-00002C28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10285" name="Check Box 45" hidden="1">
                <a:extLst>
                  <a:ext uri="{63B3BB69-23CF-44E3-9099-C40C66FF867C}">
                    <a14:compatExt spid="_x0000_s10285"/>
                  </a:ext>
                  <a:ext uri="{FF2B5EF4-FFF2-40B4-BE49-F238E27FC236}">
                    <a16:creationId xmlns:a16="http://schemas.microsoft.com/office/drawing/2014/main" id="{00000000-0008-0000-0500-00002D28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10286" name="Check Box 46" descr="추락" hidden="1">
                <a:extLst>
                  <a:ext uri="{63B3BB69-23CF-44E3-9099-C40C66FF867C}">
                    <a14:compatExt spid="_x0000_s10286"/>
                  </a:ext>
                  <a:ext uri="{FF2B5EF4-FFF2-40B4-BE49-F238E27FC236}">
                    <a16:creationId xmlns:a16="http://schemas.microsoft.com/office/drawing/2014/main" id="{00000000-0008-0000-0500-00002E28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10287" name="Check Box 47" hidden="1">
                <a:extLst>
                  <a:ext uri="{63B3BB69-23CF-44E3-9099-C40C66FF867C}">
                    <a14:compatExt spid="_x0000_s10287"/>
                  </a:ext>
                  <a:ext uri="{FF2B5EF4-FFF2-40B4-BE49-F238E27FC236}">
                    <a16:creationId xmlns:a16="http://schemas.microsoft.com/office/drawing/2014/main" id="{00000000-0008-0000-0500-00002F28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10288" name="Check Box 48" hidden="1">
                <a:extLst>
                  <a:ext uri="{63B3BB69-23CF-44E3-9099-C40C66FF867C}">
                    <a14:compatExt spid="_x0000_s10288"/>
                  </a:ext>
                  <a:ext uri="{FF2B5EF4-FFF2-40B4-BE49-F238E27FC236}">
                    <a16:creationId xmlns:a16="http://schemas.microsoft.com/office/drawing/2014/main" id="{00000000-0008-0000-0500-00003028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10289" name="Check Box 49" hidden="1">
                <a:extLst>
                  <a:ext uri="{63B3BB69-23CF-44E3-9099-C40C66FF867C}">
                    <a14:compatExt spid="_x0000_s10289"/>
                  </a:ext>
                  <a:ext uri="{FF2B5EF4-FFF2-40B4-BE49-F238E27FC236}">
                    <a16:creationId xmlns:a16="http://schemas.microsoft.com/office/drawing/2014/main" id="{00000000-0008-0000-0500-00003128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10290" name="Check Box 50" hidden="1">
                <a:extLst>
                  <a:ext uri="{63B3BB69-23CF-44E3-9099-C40C66FF867C}">
                    <a14:compatExt spid="_x0000_s10290"/>
                  </a:ext>
                  <a:ext uri="{FF2B5EF4-FFF2-40B4-BE49-F238E27FC236}">
                    <a16:creationId xmlns:a16="http://schemas.microsoft.com/office/drawing/2014/main" id="{00000000-0008-0000-0500-00003228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10291" name="Check Box 51" hidden="1">
                <a:extLst>
                  <a:ext uri="{63B3BB69-23CF-44E3-9099-C40C66FF867C}">
                    <a14:compatExt spid="_x0000_s10291"/>
                  </a:ext>
                  <a:ext uri="{FF2B5EF4-FFF2-40B4-BE49-F238E27FC236}">
                    <a16:creationId xmlns:a16="http://schemas.microsoft.com/office/drawing/2014/main" id="{00000000-0008-0000-0500-00003328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10292" name="Check Box 52" hidden="1">
                <a:extLst>
                  <a:ext uri="{63B3BB69-23CF-44E3-9099-C40C66FF867C}">
                    <a14:compatExt spid="_x0000_s10292"/>
                  </a:ext>
                  <a:ext uri="{FF2B5EF4-FFF2-40B4-BE49-F238E27FC236}">
                    <a16:creationId xmlns:a16="http://schemas.microsoft.com/office/drawing/2014/main" id="{00000000-0008-0000-0500-00003428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4"/>
              <a:chExt cx="969630" cy="1683080"/>
            </a:xfrm>
          </xdr:grpSpPr>
          <xdr:sp macro="" textlink="">
            <xdr:nvSpPr>
              <xdr:cNvPr id="9217" name="Check Box 1" hidden="1">
                <a:extLst>
                  <a:ext uri="{63B3BB69-23CF-44E3-9099-C40C66FF867C}">
                    <a14:compatExt spid="_x0000_s9217"/>
                  </a:ext>
                  <a:ext uri="{FF2B5EF4-FFF2-40B4-BE49-F238E27FC236}">
                    <a16:creationId xmlns:a16="http://schemas.microsoft.com/office/drawing/2014/main" id="{00000000-0008-0000-0600-000001240000}"/>
                  </a:ext>
                </a:extLst>
              </xdr:cNvPr>
              <xdr:cNvSpPr/>
            </xdr:nvSpPr>
            <xdr:spPr bwMode="auto">
              <a:xfrm>
                <a:off x="1883093" y="4572944"/>
                <a:ext cx="969630" cy="29345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9218" name="Check Box 2" hidden="1">
                <a:extLst>
                  <a:ext uri="{63B3BB69-23CF-44E3-9099-C40C66FF867C}">
                    <a14:compatExt spid="_x0000_s9218"/>
                  </a:ext>
                  <a:ext uri="{FF2B5EF4-FFF2-40B4-BE49-F238E27FC236}">
                    <a16:creationId xmlns:a16="http://schemas.microsoft.com/office/drawing/2014/main" id="{00000000-0008-0000-0600-000002240000}"/>
                  </a:ext>
                </a:extLst>
              </xdr:cNvPr>
              <xdr:cNvSpPr/>
            </xdr:nvSpPr>
            <xdr:spPr bwMode="auto">
              <a:xfrm>
                <a:off x="1883093" y="4969984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9219" name="Check Box 3" hidden="1">
                <a:extLst>
                  <a:ext uri="{63B3BB69-23CF-44E3-9099-C40C66FF867C}">
                    <a14:compatExt spid="_x0000_s9219"/>
                  </a:ext>
                  <a:ext uri="{FF2B5EF4-FFF2-40B4-BE49-F238E27FC236}">
                    <a16:creationId xmlns:a16="http://schemas.microsoft.com/office/drawing/2014/main" id="{00000000-0008-0000-0600-000003240000}"/>
                  </a:ext>
                </a:extLst>
              </xdr:cNvPr>
              <xdr:cNvSpPr/>
            </xdr:nvSpPr>
            <xdr:spPr bwMode="auto">
              <a:xfrm>
                <a:off x="1883093" y="516849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9220" name="Check Box 4" hidden="1">
                <a:extLst>
                  <a:ext uri="{63B3BB69-23CF-44E3-9099-C40C66FF867C}">
                    <a14:compatExt spid="_x0000_s9220"/>
                  </a:ext>
                  <a:ext uri="{FF2B5EF4-FFF2-40B4-BE49-F238E27FC236}">
                    <a16:creationId xmlns:a16="http://schemas.microsoft.com/office/drawing/2014/main" id="{00000000-0008-0000-0600-0000042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9221" name="Check Box 5" hidden="1">
                <a:extLst>
                  <a:ext uri="{63B3BB69-23CF-44E3-9099-C40C66FF867C}">
                    <a14:compatExt spid="_x0000_s9221"/>
                  </a:ext>
                  <a:ext uri="{FF2B5EF4-FFF2-40B4-BE49-F238E27FC236}">
                    <a16:creationId xmlns:a16="http://schemas.microsoft.com/office/drawing/2014/main" id="{00000000-0008-0000-0600-0000052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9222" name="Check Box 6" hidden="1">
                <a:extLst>
                  <a:ext uri="{63B3BB69-23CF-44E3-9099-C40C66FF867C}">
                    <a14:compatExt spid="_x0000_s9222"/>
                  </a:ext>
                  <a:ext uri="{FF2B5EF4-FFF2-40B4-BE49-F238E27FC236}">
                    <a16:creationId xmlns:a16="http://schemas.microsoft.com/office/drawing/2014/main" id="{00000000-0008-0000-0600-000006240000}"/>
                  </a:ext>
                </a:extLst>
              </xdr:cNvPr>
              <xdr:cNvSpPr/>
            </xdr:nvSpPr>
            <xdr:spPr bwMode="auto">
              <a:xfrm>
                <a:off x="1883093" y="576404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9223" name="Check Box 7" hidden="1">
                <a:extLst>
                  <a:ext uri="{63B3BB69-23CF-44E3-9099-C40C66FF867C}">
                    <a14:compatExt spid="_x0000_s9223"/>
                  </a:ext>
                  <a:ext uri="{FF2B5EF4-FFF2-40B4-BE49-F238E27FC236}">
                    <a16:creationId xmlns:a16="http://schemas.microsoft.com/office/drawing/2014/main" id="{00000000-0008-0000-0600-0000072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9224" name="Check Box 8" hidden="1">
                <a:extLst>
                  <a:ext uri="{63B3BB69-23CF-44E3-9099-C40C66FF867C}">
                    <a14:compatExt spid="_x0000_s9224"/>
                  </a:ext>
                  <a:ext uri="{FF2B5EF4-FFF2-40B4-BE49-F238E27FC236}">
                    <a16:creationId xmlns:a16="http://schemas.microsoft.com/office/drawing/2014/main" id="{00000000-0008-0000-0600-0000082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1"/>
              <a:chExt cx="1554480" cy="449562"/>
            </a:xfrm>
          </xdr:grpSpPr>
          <xdr:sp macro="" textlink="">
            <xdr:nvSpPr>
              <xdr:cNvPr id="9225" name="Check Box 9" hidden="1">
                <a:extLst>
                  <a:ext uri="{63B3BB69-23CF-44E3-9099-C40C66FF867C}">
                    <a14:compatExt spid="_x0000_s9225"/>
                  </a:ext>
                  <a:ext uri="{FF2B5EF4-FFF2-40B4-BE49-F238E27FC236}">
                    <a16:creationId xmlns:a16="http://schemas.microsoft.com/office/drawing/2014/main" id="{00000000-0008-0000-0600-000009240000}"/>
                  </a:ext>
                </a:extLst>
              </xdr:cNvPr>
              <xdr:cNvSpPr/>
            </xdr:nvSpPr>
            <xdr:spPr bwMode="auto">
              <a:xfrm>
                <a:off x="3535680" y="4572041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9226" name="Check Box 10" hidden="1">
                <a:extLst>
                  <a:ext uri="{63B3BB69-23CF-44E3-9099-C40C66FF867C}">
                    <a14:compatExt spid="_x0000_s9226"/>
                  </a:ext>
                  <a:ext uri="{FF2B5EF4-FFF2-40B4-BE49-F238E27FC236}">
                    <a16:creationId xmlns:a16="http://schemas.microsoft.com/office/drawing/2014/main" id="{00000000-0008-0000-0600-00000A240000}"/>
                  </a:ext>
                </a:extLst>
              </xdr:cNvPr>
              <xdr:cNvSpPr/>
            </xdr:nvSpPr>
            <xdr:spPr bwMode="auto">
              <a:xfrm>
                <a:off x="3535676" y="4747283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497"/>
            </a:xfrm>
          </xdr:grpSpPr>
          <xdr:sp macro="" textlink="">
            <xdr:nvSpPr>
              <xdr:cNvPr id="9227" name="Check Box 11" hidden="1">
                <a:extLst>
                  <a:ext uri="{63B3BB69-23CF-44E3-9099-C40C66FF867C}">
                    <a14:compatExt spid="_x0000_s9227"/>
                  </a:ext>
                  <a:ext uri="{FF2B5EF4-FFF2-40B4-BE49-F238E27FC236}">
                    <a16:creationId xmlns:a16="http://schemas.microsoft.com/office/drawing/2014/main" id="{00000000-0008-0000-0600-00000B2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9228" name="Check Box 12" hidden="1">
                <a:extLst>
                  <a:ext uri="{63B3BB69-23CF-44E3-9099-C40C66FF867C}">
                    <a14:compatExt spid="_x0000_s9228"/>
                  </a:ext>
                  <a:ext uri="{FF2B5EF4-FFF2-40B4-BE49-F238E27FC236}">
                    <a16:creationId xmlns:a16="http://schemas.microsoft.com/office/drawing/2014/main" id="{00000000-0008-0000-0600-00000C2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9229" name="Check Box 13" hidden="1">
                <a:extLst>
                  <a:ext uri="{63B3BB69-23CF-44E3-9099-C40C66FF867C}">
                    <a14:compatExt spid="_x0000_s9229"/>
                  </a:ext>
                  <a:ext uri="{FF2B5EF4-FFF2-40B4-BE49-F238E27FC236}">
                    <a16:creationId xmlns:a16="http://schemas.microsoft.com/office/drawing/2014/main" id="{00000000-0008-0000-0600-00000D2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9230" name="Check Box 14" hidden="1">
                <a:extLst>
                  <a:ext uri="{63B3BB69-23CF-44E3-9099-C40C66FF867C}">
                    <a14:compatExt spid="_x0000_s9230"/>
                  </a:ext>
                  <a:ext uri="{FF2B5EF4-FFF2-40B4-BE49-F238E27FC236}">
                    <a16:creationId xmlns:a16="http://schemas.microsoft.com/office/drawing/2014/main" id="{00000000-0008-0000-0600-00000E240000}"/>
                  </a:ext>
                </a:extLst>
              </xdr:cNvPr>
              <xdr:cNvSpPr/>
            </xdr:nvSpPr>
            <xdr:spPr bwMode="auto">
              <a:xfrm>
                <a:off x="5394960" y="5417805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9"/>
              <a:chExt cx="1122959" cy="1545357"/>
            </a:xfrm>
          </xdr:grpSpPr>
          <xdr:sp macro="" textlink="">
            <xdr:nvSpPr>
              <xdr:cNvPr id="9231" name="Check Box 15" hidden="1">
                <a:extLst>
                  <a:ext uri="{63B3BB69-23CF-44E3-9099-C40C66FF867C}">
                    <a14:compatExt spid="_x0000_s9231"/>
                  </a:ext>
                  <a:ext uri="{FF2B5EF4-FFF2-40B4-BE49-F238E27FC236}">
                    <a16:creationId xmlns:a16="http://schemas.microsoft.com/office/drawing/2014/main" id="{00000000-0008-0000-0600-00000F2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9232" name="Check Box 16" hidden="1">
                <a:extLst>
                  <a:ext uri="{63B3BB69-23CF-44E3-9099-C40C66FF867C}">
                    <a14:compatExt spid="_x0000_s9232"/>
                  </a:ext>
                  <a:ext uri="{FF2B5EF4-FFF2-40B4-BE49-F238E27FC236}">
                    <a16:creationId xmlns:a16="http://schemas.microsoft.com/office/drawing/2014/main" id="{00000000-0008-0000-0600-0000102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9233" name="Check Box 17" hidden="1">
                <a:extLst>
                  <a:ext uri="{63B3BB69-23CF-44E3-9099-C40C66FF867C}">
                    <a14:compatExt spid="_x0000_s9233"/>
                  </a:ext>
                  <a:ext uri="{FF2B5EF4-FFF2-40B4-BE49-F238E27FC236}">
                    <a16:creationId xmlns:a16="http://schemas.microsoft.com/office/drawing/2014/main" id="{00000000-0008-0000-0600-000011240000}"/>
                  </a:ext>
                </a:extLst>
              </xdr:cNvPr>
              <xdr:cNvSpPr/>
            </xdr:nvSpPr>
            <xdr:spPr bwMode="auto">
              <a:xfrm>
                <a:off x="903513" y="4495529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9234" name="Check Box 18" hidden="1">
                <a:extLst>
                  <a:ext uri="{63B3BB69-23CF-44E3-9099-C40C66FF867C}">
                    <a14:compatExt spid="_x0000_s9234"/>
                  </a:ext>
                  <a:ext uri="{FF2B5EF4-FFF2-40B4-BE49-F238E27FC236}">
                    <a16:creationId xmlns:a16="http://schemas.microsoft.com/office/drawing/2014/main" id="{00000000-0008-0000-0600-0000122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9235" name="Check Box 19" hidden="1">
                <a:extLst>
                  <a:ext uri="{63B3BB69-23CF-44E3-9099-C40C66FF867C}">
                    <a14:compatExt spid="_x0000_s9235"/>
                  </a:ext>
                  <a:ext uri="{FF2B5EF4-FFF2-40B4-BE49-F238E27FC236}">
                    <a16:creationId xmlns:a16="http://schemas.microsoft.com/office/drawing/2014/main" id="{00000000-0008-0000-0600-0000132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9236" name="Check Box 20" hidden="1">
                <a:extLst>
                  <a:ext uri="{63B3BB69-23CF-44E3-9099-C40C66FF867C}">
                    <a14:compatExt spid="_x0000_s9236"/>
                  </a:ext>
                  <a:ext uri="{FF2B5EF4-FFF2-40B4-BE49-F238E27FC236}">
                    <a16:creationId xmlns:a16="http://schemas.microsoft.com/office/drawing/2014/main" id="{00000000-0008-0000-0600-0000142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9237" name="Check Box 21" hidden="1">
                <a:extLst>
                  <a:ext uri="{63B3BB69-23CF-44E3-9099-C40C66FF867C}">
                    <a14:compatExt spid="_x0000_s9237"/>
                  </a:ext>
                  <a:ext uri="{FF2B5EF4-FFF2-40B4-BE49-F238E27FC236}">
                    <a16:creationId xmlns:a16="http://schemas.microsoft.com/office/drawing/2014/main" id="{00000000-0008-0000-0600-0000152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9238" name="Check Box 22" hidden="1">
                <a:extLst>
                  <a:ext uri="{63B3BB69-23CF-44E3-9099-C40C66FF867C}">
                    <a14:compatExt spid="_x0000_s9238"/>
                  </a:ext>
                  <a:ext uri="{FF2B5EF4-FFF2-40B4-BE49-F238E27FC236}">
                    <a16:creationId xmlns:a16="http://schemas.microsoft.com/office/drawing/2014/main" id="{00000000-0008-0000-0600-0000162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9239" name="Check Box 23" hidden="1">
                <a:extLst>
                  <a:ext uri="{63B3BB69-23CF-44E3-9099-C40C66FF867C}">
                    <a14:compatExt spid="_x0000_s9239"/>
                  </a:ext>
                  <a:ext uri="{FF2B5EF4-FFF2-40B4-BE49-F238E27FC236}">
                    <a16:creationId xmlns:a16="http://schemas.microsoft.com/office/drawing/2014/main" id="{00000000-0008-0000-0600-000017240000}"/>
                  </a:ext>
                </a:extLst>
              </xdr:cNvPr>
              <xdr:cNvSpPr/>
            </xdr:nvSpPr>
            <xdr:spPr bwMode="auto">
              <a:xfrm>
                <a:off x="903513" y="5855052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06"/>
              <a:chExt cx="1554480" cy="513818"/>
            </a:xfrm>
          </xdr:grpSpPr>
          <xdr:sp macro="" textlink="">
            <xdr:nvSpPr>
              <xdr:cNvPr id="9240" name="Check Box 24" hidden="1">
                <a:extLst>
                  <a:ext uri="{63B3BB69-23CF-44E3-9099-C40C66FF867C}">
                    <a14:compatExt spid="_x0000_s9240"/>
                  </a:ext>
                  <a:ext uri="{FF2B5EF4-FFF2-40B4-BE49-F238E27FC236}">
                    <a16:creationId xmlns:a16="http://schemas.microsoft.com/office/drawing/2014/main" id="{00000000-0008-0000-0600-000018240000}"/>
                  </a:ext>
                </a:extLst>
              </xdr:cNvPr>
              <xdr:cNvSpPr/>
            </xdr:nvSpPr>
            <xdr:spPr bwMode="auto">
              <a:xfrm>
                <a:off x="3535680" y="4533506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9241" name="Check Box 25" hidden="1">
                <a:extLst>
                  <a:ext uri="{63B3BB69-23CF-44E3-9099-C40C66FF867C}">
                    <a14:compatExt spid="_x0000_s9241"/>
                  </a:ext>
                  <a:ext uri="{FF2B5EF4-FFF2-40B4-BE49-F238E27FC236}">
                    <a16:creationId xmlns:a16="http://schemas.microsoft.com/office/drawing/2014/main" id="{00000000-0008-0000-0600-000019240000}"/>
                  </a:ext>
                </a:extLst>
              </xdr:cNvPr>
              <xdr:cNvSpPr/>
            </xdr:nvSpPr>
            <xdr:spPr bwMode="auto">
              <a:xfrm>
                <a:off x="3535676" y="4773004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4"/>
              <a:chExt cx="1122959" cy="1535573"/>
            </a:xfrm>
          </xdr:grpSpPr>
          <xdr:sp macro="" textlink="">
            <xdr:nvSpPr>
              <xdr:cNvPr id="9242" name="Check Box 26" hidden="1">
                <a:extLst>
                  <a:ext uri="{63B3BB69-23CF-44E3-9099-C40C66FF867C}">
                    <a14:compatExt spid="_x0000_s9242"/>
                  </a:ext>
                  <a:ext uri="{FF2B5EF4-FFF2-40B4-BE49-F238E27FC236}">
                    <a16:creationId xmlns:a16="http://schemas.microsoft.com/office/drawing/2014/main" id="{00000000-0008-0000-0600-00001A2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9243" name="Check Box 27" hidden="1">
                <a:extLst>
                  <a:ext uri="{63B3BB69-23CF-44E3-9099-C40C66FF867C}">
                    <a14:compatExt spid="_x0000_s9243"/>
                  </a:ext>
                  <a:ext uri="{FF2B5EF4-FFF2-40B4-BE49-F238E27FC236}">
                    <a16:creationId xmlns:a16="http://schemas.microsoft.com/office/drawing/2014/main" id="{00000000-0008-0000-0600-00001B240000}"/>
                  </a:ext>
                </a:extLst>
              </xdr:cNvPr>
              <xdr:cNvSpPr/>
            </xdr:nvSpPr>
            <xdr:spPr bwMode="auto">
              <a:xfrm>
                <a:off x="903513" y="5708335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9244" name="Check Box 28" hidden="1">
                <a:extLst>
                  <a:ext uri="{63B3BB69-23CF-44E3-9099-C40C66FF867C}">
                    <a14:compatExt spid="_x0000_s9244"/>
                  </a:ext>
                  <a:ext uri="{FF2B5EF4-FFF2-40B4-BE49-F238E27FC236}">
                    <a16:creationId xmlns:a16="http://schemas.microsoft.com/office/drawing/2014/main" id="{00000000-0008-0000-0600-00001C240000}"/>
                  </a:ext>
                </a:extLst>
              </xdr:cNvPr>
              <xdr:cNvSpPr/>
            </xdr:nvSpPr>
            <xdr:spPr bwMode="auto">
              <a:xfrm>
                <a:off x="903513" y="4495534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9245" name="Check Box 29" hidden="1">
                <a:extLst>
                  <a:ext uri="{63B3BB69-23CF-44E3-9099-C40C66FF867C}">
                    <a14:compatExt spid="_x0000_s9245"/>
                  </a:ext>
                  <a:ext uri="{FF2B5EF4-FFF2-40B4-BE49-F238E27FC236}">
                    <a16:creationId xmlns:a16="http://schemas.microsoft.com/office/drawing/2014/main" id="{00000000-0008-0000-0600-00001D2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9246" name="Check Box 30" hidden="1">
                <a:extLst>
                  <a:ext uri="{63B3BB69-23CF-44E3-9099-C40C66FF867C}">
                    <a14:compatExt spid="_x0000_s9246"/>
                  </a:ext>
                  <a:ext uri="{FF2B5EF4-FFF2-40B4-BE49-F238E27FC236}">
                    <a16:creationId xmlns:a16="http://schemas.microsoft.com/office/drawing/2014/main" id="{00000000-0008-0000-0600-00001E2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9247" name="Check Box 31" hidden="1">
                <a:extLst>
                  <a:ext uri="{63B3BB69-23CF-44E3-9099-C40C66FF867C}">
                    <a14:compatExt spid="_x0000_s9247"/>
                  </a:ext>
                  <a:ext uri="{FF2B5EF4-FFF2-40B4-BE49-F238E27FC236}">
                    <a16:creationId xmlns:a16="http://schemas.microsoft.com/office/drawing/2014/main" id="{00000000-0008-0000-0600-00001F2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9248" name="Check Box 32" hidden="1">
                <a:extLst>
                  <a:ext uri="{63B3BB69-23CF-44E3-9099-C40C66FF867C}">
                    <a14:compatExt spid="_x0000_s9248"/>
                  </a:ext>
                  <a:ext uri="{FF2B5EF4-FFF2-40B4-BE49-F238E27FC236}">
                    <a16:creationId xmlns:a16="http://schemas.microsoft.com/office/drawing/2014/main" id="{00000000-0008-0000-0600-0000202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9249" name="Check Box 33" hidden="1">
                <a:extLst>
                  <a:ext uri="{63B3BB69-23CF-44E3-9099-C40C66FF867C}">
                    <a14:compatExt spid="_x0000_s9249"/>
                  </a:ext>
                  <a:ext uri="{FF2B5EF4-FFF2-40B4-BE49-F238E27FC236}">
                    <a16:creationId xmlns:a16="http://schemas.microsoft.com/office/drawing/2014/main" id="{00000000-0008-0000-0600-0000212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9250" name="Check Box 34" hidden="1">
                <a:extLst>
                  <a:ext uri="{63B3BB69-23CF-44E3-9099-C40C66FF867C}">
                    <a14:compatExt spid="_x0000_s9250"/>
                  </a:ext>
                  <a:ext uri="{FF2B5EF4-FFF2-40B4-BE49-F238E27FC236}">
                    <a16:creationId xmlns:a16="http://schemas.microsoft.com/office/drawing/2014/main" id="{00000000-0008-0000-0600-000022240000}"/>
                  </a:ext>
                </a:extLst>
              </xdr:cNvPr>
              <xdr:cNvSpPr/>
            </xdr:nvSpPr>
            <xdr:spPr bwMode="auto">
              <a:xfrm>
                <a:off x="903513" y="5903545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4"/>
              <a:chExt cx="1122959" cy="1545361"/>
            </a:xfrm>
          </xdr:grpSpPr>
          <xdr:sp macro="" textlink="">
            <xdr:nvSpPr>
              <xdr:cNvPr id="9251" name="Check Box 35" hidden="1">
                <a:extLst>
                  <a:ext uri="{63B3BB69-23CF-44E3-9099-C40C66FF867C}">
                    <a14:compatExt spid="_x0000_s9251"/>
                  </a:ext>
                  <a:ext uri="{FF2B5EF4-FFF2-40B4-BE49-F238E27FC236}">
                    <a16:creationId xmlns:a16="http://schemas.microsoft.com/office/drawing/2014/main" id="{00000000-0008-0000-0600-0000232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9252" name="Check Box 36" hidden="1">
                <a:extLst>
                  <a:ext uri="{63B3BB69-23CF-44E3-9099-C40C66FF867C}">
                    <a14:compatExt spid="_x0000_s9252"/>
                  </a:ext>
                  <a:ext uri="{FF2B5EF4-FFF2-40B4-BE49-F238E27FC236}">
                    <a16:creationId xmlns:a16="http://schemas.microsoft.com/office/drawing/2014/main" id="{00000000-0008-0000-0600-0000242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9253" name="Check Box 37" hidden="1">
                <a:extLst>
                  <a:ext uri="{63B3BB69-23CF-44E3-9099-C40C66FF867C}">
                    <a14:compatExt spid="_x0000_s9253"/>
                  </a:ext>
                  <a:ext uri="{FF2B5EF4-FFF2-40B4-BE49-F238E27FC236}">
                    <a16:creationId xmlns:a16="http://schemas.microsoft.com/office/drawing/2014/main" id="{00000000-0008-0000-0600-000025240000}"/>
                  </a:ext>
                </a:extLst>
              </xdr:cNvPr>
              <xdr:cNvSpPr/>
            </xdr:nvSpPr>
            <xdr:spPr bwMode="auto">
              <a:xfrm>
                <a:off x="903513" y="4495524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9254" name="Check Box 38" hidden="1">
                <a:extLst>
                  <a:ext uri="{63B3BB69-23CF-44E3-9099-C40C66FF867C}">
                    <a14:compatExt spid="_x0000_s9254"/>
                  </a:ext>
                  <a:ext uri="{FF2B5EF4-FFF2-40B4-BE49-F238E27FC236}">
                    <a16:creationId xmlns:a16="http://schemas.microsoft.com/office/drawing/2014/main" id="{00000000-0008-0000-0600-0000262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9255" name="Check Box 39" hidden="1">
                <a:extLst>
                  <a:ext uri="{63B3BB69-23CF-44E3-9099-C40C66FF867C}">
                    <a14:compatExt spid="_x0000_s9255"/>
                  </a:ext>
                  <a:ext uri="{FF2B5EF4-FFF2-40B4-BE49-F238E27FC236}">
                    <a16:creationId xmlns:a16="http://schemas.microsoft.com/office/drawing/2014/main" id="{00000000-0008-0000-0600-0000272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9256" name="Check Box 40" hidden="1">
                <a:extLst>
                  <a:ext uri="{63B3BB69-23CF-44E3-9099-C40C66FF867C}">
                    <a14:compatExt spid="_x0000_s9256"/>
                  </a:ext>
                  <a:ext uri="{FF2B5EF4-FFF2-40B4-BE49-F238E27FC236}">
                    <a16:creationId xmlns:a16="http://schemas.microsoft.com/office/drawing/2014/main" id="{00000000-0008-0000-0600-0000282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9257" name="Check Box 41" hidden="1">
                <a:extLst>
                  <a:ext uri="{63B3BB69-23CF-44E3-9099-C40C66FF867C}">
                    <a14:compatExt spid="_x0000_s9257"/>
                  </a:ext>
                  <a:ext uri="{FF2B5EF4-FFF2-40B4-BE49-F238E27FC236}">
                    <a16:creationId xmlns:a16="http://schemas.microsoft.com/office/drawing/2014/main" id="{00000000-0008-0000-0600-0000292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9258" name="Check Box 42" hidden="1">
                <a:extLst>
                  <a:ext uri="{63B3BB69-23CF-44E3-9099-C40C66FF867C}">
                    <a14:compatExt spid="_x0000_s9258"/>
                  </a:ext>
                  <a:ext uri="{FF2B5EF4-FFF2-40B4-BE49-F238E27FC236}">
                    <a16:creationId xmlns:a16="http://schemas.microsoft.com/office/drawing/2014/main" id="{00000000-0008-0000-0600-00002A2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9259" name="Check Box 43" hidden="1">
                <a:extLst>
                  <a:ext uri="{63B3BB69-23CF-44E3-9099-C40C66FF867C}">
                    <a14:compatExt spid="_x0000_s9259"/>
                  </a:ext>
                  <a:ext uri="{FF2B5EF4-FFF2-40B4-BE49-F238E27FC236}">
                    <a16:creationId xmlns:a16="http://schemas.microsoft.com/office/drawing/2014/main" id="{00000000-0008-0000-0600-00002B240000}"/>
                  </a:ext>
                </a:extLst>
              </xdr:cNvPr>
              <xdr:cNvSpPr/>
            </xdr:nvSpPr>
            <xdr:spPr bwMode="auto">
              <a:xfrm>
                <a:off x="903513" y="5932885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5"/>
              <a:chExt cx="800100" cy="1514493"/>
            </a:xfrm>
          </xdr:grpSpPr>
          <xdr:sp macro="" textlink="">
            <xdr:nvSpPr>
              <xdr:cNvPr id="9260" name="Check Box 44" hidden="1">
                <a:extLst>
                  <a:ext uri="{63B3BB69-23CF-44E3-9099-C40C66FF867C}">
                    <a14:compatExt spid="_x0000_s9260"/>
                  </a:ext>
                  <a:ext uri="{FF2B5EF4-FFF2-40B4-BE49-F238E27FC236}">
                    <a16:creationId xmlns:a16="http://schemas.microsoft.com/office/drawing/2014/main" id="{00000000-0008-0000-0600-00002C2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9261" name="Check Box 45" hidden="1">
                <a:extLst>
                  <a:ext uri="{63B3BB69-23CF-44E3-9099-C40C66FF867C}">
                    <a14:compatExt spid="_x0000_s9261"/>
                  </a:ext>
                  <a:ext uri="{FF2B5EF4-FFF2-40B4-BE49-F238E27FC236}">
                    <a16:creationId xmlns:a16="http://schemas.microsoft.com/office/drawing/2014/main" id="{00000000-0008-0000-0600-00002D2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9262" name="Check Box 46" descr="추락" hidden="1">
                <a:extLst>
                  <a:ext uri="{63B3BB69-23CF-44E3-9099-C40C66FF867C}">
                    <a14:compatExt spid="_x0000_s9262"/>
                  </a:ext>
                  <a:ext uri="{FF2B5EF4-FFF2-40B4-BE49-F238E27FC236}">
                    <a16:creationId xmlns:a16="http://schemas.microsoft.com/office/drawing/2014/main" id="{00000000-0008-0000-0600-00002E240000}"/>
                  </a:ext>
                </a:extLst>
              </xdr:cNvPr>
              <xdr:cNvSpPr/>
            </xdr:nvSpPr>
            <xdr:spPr bwMode="auto">
              <a:xfrm>
                <a:off x="1676400" y="4286245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9263" name="Check Box 47" hidden="1">
                <a:extLst>
                  <a:ext uri="{63B3BB69-23CF-44E3-9099-C40C66FF867C}">
                    <a14:compatExt spid="_x0000_s9263"/>
                  </a:ext>
                  <a:ext uri="{FF2B5EF4-FFF2-40B4-BE49-F238E27FC236}">
                    <a16:creationId xmlns:a16="http://schemas.microsoft.com/office/drawing/2014/main" id="{00000000-0008-0000-0600-00002F2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9264" name="Check Box 48" hidden="1">
                <a:extLst>
                  <a:ext uri="{63B3BB69-23CF-44E3-9099-C40C66FF867C}">
                    <a14:compatExt spid="_x0000_s9264"/>
                  </a:ext>
                  <a:ext uri="{FF2B5EF4-FFF2-40B4-BE49-F238E27FC236}">
                    <a16:creationId xmlns:a16="http://schemas.microsoft.com/office/drawing/2014/main" id="{00000000-0008-0000-0600-0000302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9265" name="Check Box 49" hidden="1">
                <a:extLst>
                  <a:ext uri="{63B3BB69-23CF-44E3-9099-C40C66FF867C}">
                    <a14:compatExt spid="_x0000_s9265"/>
                  </a:ext>
                  <a:ext uri="{FF2B5EF4-FFF2-40B4-BE49-F238E27FC236}">
                    <a16:creationId xmlns:a16="http://schemas.microsoft.com/office/drawing/2014/main" id="{00000000-0008-0000-0600-0000312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9266" name="Check Box 50" hidden="1">
                <a:extLst>
                  <a:ext uri="{63B3BB69-23CF-44E3-9099-C40C66FF867C}">
                    <a14:compatExt spid="_x0000_s9266"/>
                  </a:ext>
                  <a:ext uri="{FF2B5EF4-FFF2-40B4-BE49-F238E27FC236}">
                    <a16:creationId xmlns:a16="http://schemas.microsoft.com/office/drawing/2014/main" id="{00000000-0008-0000-0600-0000322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9267" name="Check Box 51" hidden="1">
                <a:extLst>
                  <a:ext uri="{63B3BB69-23CF-44E3-9099-C40C66FF867C}">
                    <a14:compatExt spid="_x0000_s9267"/>
                  </a:ext>
                  <a:ext uri="{FF2B5EF4-FFF2-40B4-BE49-F238E27FC236}">
                    <a16:creationId xmlns:a16="http://schemas.microsoft.com/office/drawing/2014/main" id="{00000000-0008-0000-0600-0000332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9268" name="Check Box 52" hidden="1">
                <a:extLst>
                  <a:ext uri="{63B3BB69-23CF-44E3-9099-C40C66FF867C}">
                    <a14:compatExt spid="_x0000_s9268"/>
                  </a:ext>
                  <a:ext uri="{FF2B5EF4-FFF2-40B4-BE49-F238E27FC236}">
                    <a16:creationId xmlns:a16="http://schemas.microsoft.com/office/drawing/2014/main" id="{00000000-0008-0000-0600-0000342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8193" name="Check Box 1" hidden="1">
                <a:extLst>
                  <a:ext uri="{63B3BB69-23CF-44E3-9099-C40C66FF867C}">
                    <a14:compatExt spid="_x0000_s8193"/>
                  </a:ext>
                  <a:ext uri="{FF2B5EF4-FFF2-40B4-BE49-F238E27FC236}">
                    <a16:creationId xmlns:a16="http://schemas.microsoft.com/office/drawing/2014/main" id="{00000000-0008-0000-0700-00000120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8194" name="Check Box 2" hidden="1">
                <a:extLst>
                  <a:ext uri="{63B3BB69-23CF-44E3-9099-C40C66FF867C}">
                    <a14:compatExt spid="_x0000_s8194"/>
                  </a:ext>
                  <a:ext uri="{FF2B5EF4-FFF2-40B4-BE49-F238E27FC236}">
                    <a16:creationId xmlns:a16="http://schemas.microsoft.com/office/drawing/2014/main" id="{00000000-0008-0000-0700-00000220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8195" name="Check Box 3" hidden="1">
                <a:extLst>
                  <a:ext uri="{63B3BB69-23CF-44E3-9099-C40C66FF867C}">
                    <a14:compatExt spid="_x0000_s8195"/>
                  </a:ext>
                  <a:ext uri="{FF2B5EF4-FFF2-40B4-BE49-F238E27FC236}">
                    <a16:creationId xmlns:a16="http://schemas.microsoft.com/office/drawing/2014/main" id="{00000000-0008-0000-0700-00000320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8196" name="Check Box 4" hidden="1">
                <a:extLst>
                  <a:ext uri="{63B3BB69-23CF-44E3-9099-C40C66FF867C}">
                    <a14:compatExt spid="_x0000_s8196"/>
                  </a:ext>
                  <a:ext uri="{FF2B5EF4-FFF2-40B4-BE49-F238E27FC236}">
                    <a16:creationId xmlns:a16="http://schemas.microsoft.com/office/drawing/2014/main" id="{00000000-0008-0000-0700-00000420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8197" name="Check Box 5" hidden="1">
                <a:extLst>
                  <a:ext uri="{63B3BB69-23CF-44E3-9099-C40C66FF867C}">
                    <a14:compatExt spid="_x0000_s8197"/>
                  </a:ext>
                  <a:ext uri="{FF2B5EF4-FFF2-40B4-BE49-F238E27FC236}">
                    <a16:creationId xmlns:a16="http://schemas.microsoft.com/office/drawing/2014/main" id="{00000000-0008-0000-0700-00000520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8198" name="Check Box 6" hidden="1">
                <a:extLst>
                  <a:ext uri="{63B3BB69-23CF-44E3-9099-C40C66FF867C}">
                    <a14:compatExt spid="_x0000_s8198"/>
                  </a:ext>
                  <a:ext uri="{FF2B5EF4-FFF2-40B4-BE49-F238E27FC236}">
                    <a16:creationId xmlns:a16="http://schemas.microsoft.com/office/drawing/2014/main" id="{00000000-0008-0000-0700-00000620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8199" name="Check Box 7" hidden="1">
                <a:extLst>
                  <a:ext uri="{63B3BB69-23CF-44E3-9099-C40C66FF867C}">
                    <a14:compatExt spid="_x0000_s8199"/>
                  </a:ext>
                  <a:ext uri="{FF2B5EF4-FFF2-40B4-BE49-F238E27FC236}">
                    <a16:creationId xmlns:a16="http://schemas.microsoft.com/office/drawing/2014/main" id="{00000000-0008-0000-0700-00000720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8200" name="Check Box 8" hidden="1">
                <a:extLst>
                  <a:ext uri="{63B3BB69-23CF-44E3-9099-C40C66FF867C}">
                    <a14:compatExt spid="_x0000_s8200"/>
                  </a:ext>
                  <a:ext uri="{FF2B5EF4-FFF2-40B4-BE49-F238E27FC236}">
                    <a16:creationId xmlns:a16="http://schemas.microsoft.com/office/drawing/2014/main" id="{00000000-0008-0000-0700-00000820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8201" name="Check Box 9" hidden="1">
                <a:extLst>
                  <a:ext uri="{63B3BB69-23CF-44E3-9099-C40C66FF867C}">
                    <a14:compatExt spid="_x0000_s8201"/>
                  </a:ext>
                  <a:ext uri="{FF2B5EF4-FFF2-40B4-BE49-F238E27FC236}">
                    <a16:creationId xmlns:a16="http://schemas.microsoft.com/office/drawing/2014/main" id="{00000000-0008-0000-0700-00000920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8202" name="Check Box 10" hidden="1">
                <a:extLst>
                  <a:ext uri="{63B3BB69-23CF-44E3-9099-C40C66FF867C}">
                    <a14:compatExt spid="_x0000_s8202"/>
                  </a:ext>
                  <a:ext uri="{FF2B5EF4-FFF2-40B4-BE49-F238E27FC236}">
                    <a16:creationId xmlns:a16="http://schemas.microsoft.com/office/drawing/2014/main" id="{00000000-0008-0000-0700-00000A20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8203" name="Check Box 11" hidden="1">
                <a:extLst>
                  <a:ext uri="{63B3BB69-23CF-44E3-9099-C40C66FF867C}">
                    <a14:compatExt spid="_x0000_s8203"/>
                  </a:ext>
                  <a:ext uri="{FF2B5EF4-FFF2-40B4-BE49-F238E27FC236}">
                    <a16:creationId xmlns:a16="http://schemas.microsoft.com/office/drawing/2014/main" id="{00000000-0008-0000-0700-00000B20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8204" name="Check Box 12" hidden="1">
                <a:extLst>
                  <a:ext uri="{63B3BB69-23CF-44E3-9099-C40C66FF867C}">
                    <a14:compatExt spid="_x0000_s8204"/>
                  </a:ext>
                  <a:ext uri="{FF2B5EF4-FFF2-40B4-BE49-F238E27FC236}">
                    <a16:creationId xmlns:a16="http://schemas.microsoft.com/office/drawing/2014/main" id="{00000000-0008-0000-0700-00000C20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8205" name="Check Box 13" hidden="1">
                <a:extLst>
                  <a:ext uri="{63B3BB69-23CF-44E3-9099-C40C66FF867C}">
                    <a14:compatExt spid="_x0000_s8205"/>
                  </a:ext>
                  <a:ext uri="{FF2B5EF4-FFF2-40B4-BE49-F238E27FC236}">
                    <a16:creationId xmlns:a16="http://schemas.microsoft.com/office/drawing/2014/main" id="{00000000-0008-0000-0700-00000D20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8206" name="Check Box 14" hidden="1">
                <a:extLst>
                  <a:ext uri="{63B3BB69-23CF-44E3-9099-C40C66FF867C}">
                    <a14:compatExt spid="_x0000_s8206"/>
                  </a:ext>
                  <a:ext uri="{FF2B5EF4-FFF2-40B4-BE49-F238E27FC236}">
                    <a16:creationId xmlns:a16="http://schemas.microsoft.com/office/drawing/2014/main" id="{00000000-0008-0000-0700-00000E20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8207" name="Check Box 15" hidden="1">
                <a:extLst>
                  <a:ext uri="{63B3BB69-23CF-44E3-9099-C40C66FF867C}">
                    <a14:compatExt spid="_x0000_s8207"/>
                  </a:ext>
                  <a:ext uri="{FF2B5EF4-FFF2-40B4-BE49-F238E27FC236}">
                    <a16:creationId xmlns:a16="http://schemas.microsoft.com/office/drawing/2014/main" id="{00000000-0008-0000-0700-00000F20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8208" name="Check Box 16" hidden="1">
                <a:extLst>
                  <a:ext uri="{63B3BB69-23CF-44E3-9099-C40C66FF867C}">
                    <a14:compatExt spid="_x0000_s8208"/>
                  </a:ext>
                  <a:ext uri="{FF2B5EF4-FFF2-40B4-BE49-F238E27FC236}">
                    <a16:creationId xmlns:a16="http://schemas.microsoft.com/office/drawing/2014/main" id="{00000000-0008-0000-0700-00001020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8209" name="Check Box 17" hidden="1">
                <a:extLst>
                  <a:ext uri="{63B3BB69-23CF-44E3-9099-C40C66FF867C}">
                    <a14:compatExt spid="_x0000_s8209"/>
                  </a:ext>
                  <a:ext uri="{FF2B5EF4-FFF2-40B4-BE49-F238E27FC236}">
                    <a16:creationId xmlns:a16="http://schemas.microsoft.com/office/drawing/2014/main" id="{00000000-0008-0000-0700-00001120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8210" name="Check Box 18" hidden="1">
                <a:extLst>
                  <a:ext uri="{63B3BB69-23CF-44E3-9099-C40C66FF867C}">
                    <a14:compatExt spid="_x0000_s8210"/>
                  </a:ext>
                  <a:ext uri="{FF2B5EF4-FFF2-40B4-BE49-F238E27FC236}">
                    <a16:creationId xmlns:a16="http://schemas.microsoft.com/office/drawing/2014/main" id="{00000000-0008-0000-0700-00001220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8211" name="Check Box 19" hidden="1">
                <a:extLst>
                  <a:ext uri="{63B3BB69-23CF-44E3-9099-C40C66FF867C}">
                    <a14:compatExt spid="_x0000_s8211"/>
                  </a:ext>
                  <a:ext uri="{FF2B5EF4-FFF2-40B4-BE49-F238E27FC236}">
                    <a16:creationId xmlns:a16="http://schemas.microsoft.com/office/drawing/2014/main" id="{00000000-0008-0000-0700-00001320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8212" name="Check Box 20" hidden="1">
                <a:extLst>
                  <a:ext uri="{63B3BB69-23CF-44E3-9099-C40C66FF867C}">
                    <a14:compatExt spid="_x0000_s8212"/>
                  </a:ext>
                  <a:ext uri="{FF2B5EF4-FFF2-40B4-BE49-F238E27FC236}">
                    <a16:creationId xmlns:a16="http://schemas.microsoft.com/office/drawing/2014/main" id="{00000000-0008-0000-0700-0000142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8213" name="Check Box 21" hidden="1">
                <a:extLst>
                  <a:ext uri="{63B3BB69-23CF-44E3-9099-C40C66FF867C}">
                    <a14:compatExt spid="_x0000_s8213"/>
                  </a:ext>
                  <a:ext uri="{FF2B5EF4-FFF2-40B4-BE49-F238E27FC236}">
                    <a16:creationId xmlns:a16="http://schemas.microsoft.com/office/drawing/2014/main" id="{00000000-0008-0000-0700-00001520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8214" name="Check Box 22" hidden="1">
                <a:extLst>
                  <a:ext uri="{63B3BB69-23CF-44E3-9099-C40C66FF867C}">
                    <a14:compatExt spid="_x0000_s8214"/>
                  </a:ext>
                  <a:ext uri="{FF2B5EF4-FFF2-40B4-BE49-F238E27FC236}">
                    <a16:creationId xmlns:a16="http://schemas.microsoft.com/office/drawing/2014/main" id="{00000000-0008-0000-0700-0000162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8215" name="Check Box 23" hidden="1">
                <a:extLst>
                  <a:ext uri="{63B3BB69-23CF-44E3-9099-C40C66FF867C}">
                    <a14:compatExt spid="_x0000_s8215"/>
                  </a:ext>
                  <a:ext uri="{FF2B5EF4-FFF2-40B4-BE49-F238E27FC236}">
                    <a16:creationId xmlns:a16="http://schemas.microsoft.com/office/drawing/2014/main" id="{00000000-0008-0000-0700-00001720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8216" name="Check Box 24" hidden="1">
                <a:extLst>
                  <a:ext uri="{63B3BB69-23CF-44E3-9099-C40C66FF867C}">
                    <a14:compatExt spid="_x0000_s8216"/>
                  </a:ext>
                  <a:ext uri="{FF2B5EF4-FFF2-40B4-BE49-F238E27FC236}">
                    <a16:creationId xmlns:a16="http://schemas.microsoft.com/office/drawing/2014/main" id="{00000000-0008-0000-0700-00001820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8217" name="Check Box 25" hidden="1">
                <a:extLst>
                  <a:ext uri="{63B3BB69-23CF-44E3-9099-C40C66FF867C}">
                    <a14:compatExt spid="_x0000_s8217"/>
                  </a:ext>
                  <a:ext uri="{FF2B5EF4-FFF2-40B4-BE49-F238E27FC236}">
                    <a16:creationId xmlns:a16="http://schemas.microsoft.com/office/drawing/2014/main" id="{00000000-0008-0000-0700-00001920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7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8218" name="Check Box 26" hidden="1">
                <a:extLst>
                  <a:ext uri="{63B3BB69-23CF-44E3-9099-C40C66FF867C}">
                    <a14:compatExt spid="_x0000_s8218"/>
                  </a:ext>
                  <a:ext uri="{FF2B5EF4-FFF2-40B4-BE49-F238E27FC236}">
                    <a16:creationId xmlns:a16="http://schemas.microsoft.com/office/drawing/2014/main" id="{00000000-0008-0000-0700-00001A20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8219" name="Check Box 27" hidden="1">
                <a:extLst>
                  <a:ext uri="{63B3BB69-23CF-44E3-9099-C40C66FF867C}">
                    <a14:compatExt spid="_x0000_s8219"/>
                  </a:ext>
                  <a:ext uri="{FF2B5EF4-FFF2-40B4-BE49-F238E27FC236}">
                    <a16:creationId xmlns:a16="http://schemas.microsoft.com/office/drawing/2014/main" id="{00000000-0008-0000-0700-00001B20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8220" name="Check Box 28" hidden="1">
                <a:extLst>
                  <a:ext uri="{63B3BB69-23CF-44E3-9099-C40C66FF867C}">
                    <a14:compatExt spid="_x0000_s8220"/>
                  </a:ext>
                  <a:ext uri="{FF2B5EF4-FFF2-40B4-BE49-F238E27FC236}">
                    <a16:creationId xmlns:a16="http://schemas.microsoft.com/office/drawing/2014/main" id="{00000000-0008-0000-0700-00001C20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8221" name="Check Box 29" hidden="1">
                <a:extLst>
                  <a:ext uri="{63B3BB69-23CF-44E3-9099-C40C66FF867C}">
                    <a14:compatExt spid="_x0000_s8221"/>
                  </a:ext>
                  <a:ext uri="{FF2B5EF4-FFF2-40B4-BE49-F238E27FC236}">
                    <a16:creationId xmlns:a16="http://schemas.microsoft.com/office/drawing/2014/main" id="{00000000-0008-0000-0700-00001D20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8222" name="Check Box 30" hidden="1">
                <a:extLst>
                  <a:ext uri="{63B3BB69-23CF-44E3-9099-C40C66FF867C}">
                    <a14:compatExt spid="_x0000_s8222"/>
                  </a:ext>
                  <a:ext uri="{FF2B5EF4-FFF2-40B4-BE49-F238E27FC236}">
                    <a16:creationId xmlns:a16="http://schemas.microsoft.com/office/drawing/2014/main" id="{00000000-0008-0000-0700-00001E20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8223" name="Check Box 31" hidden="1">
                <a:extLst>
                  <a:ext uri="{63B3BB69-23CF-44E3-9099-C40C66FF867C}">
                    <a14:compatExt spid="_x0000_s8223"/>
                  </a:ext>
                  <a:ext uri="{FF2B5EF4-FFF2-40B4-BE49-F238E27FC236}">
                    <a16:creationId xmlns:a16="http://schemas.microsoft.com/office/drawing/2014/main" id="{00000000-0008-0000-0700-00001F2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8224" name="Check Box 32" hidden="1">
                <a:extLst>
                  <a:ext uri="{63B3BB69-23CF-44E3-9099-C40C66FF867C}">
                    <a14:compatExt spid="_x0000_s8224"/>
                  </a:ext>
                  <a:ext uri="{FF2B5EF4-FFF2-40B4-BE49-F238E27FC236}">
                    <a16:creationId xmlns:a16="http://schemas.microsoft.com/office/drawing/2014/main" id="{00000000-0008-0000-0700-00002020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8225" name="Check Box 33" hidden="1">
                <a:extLst>
                  <a:ext uri="{63B3BB69-23CF-44E3-9099-C40C66FF867C}">
                    <a14:compatExt spid="_x0000_s8225"/>
                  </a:ext>
                  <a:ext uri="{FF2B5EF4-FFF2-40B4-BE49-F238E27FC236}">
                    <a16:creationId xmlns:a16="http://schemas.microsoft.com/office/drawing/2014/main" id="{00000000-0008-0000-0700-0000212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8226" name="Check Box 34" hidden="1">
                <a:extLst>
                  <a:ext uri="{63B3BB69-23CF-44E3-9099-C40C66FF867C}">
                    <a14:compatExt spid="_x0000_s8226"/>
                  </a:ext>
                  <a:ext uri="{FF2B5EF4-FFF2-40B4-BE49-F238E27FC236}">
                    <a16:creationId xmlns:a16="http://schemas.microsoft.com/office/drawing/2014/main" id="{00000000-0008-0000-0700-00002220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7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8227" name="Check Box 35" hidden="1">
                <a:extLst>
                  <a:ext uri="{63B3BB69-23CF-44E3-9099-C40C66FF867C}">
                    <a14:compatExt spid="_x0000_s8227"/>
                  </a:ext>
                  <a:ext uri="{FF2B5EF4-FFF2-40B4-BE49-F238E27FC236}">
                    <a16:creationId xmlns:a16="http://schemas.microsoft.com/office/drawing/2014/main" id="{00000000-0008-0000-0700-00002320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8228" name="Check Box 36" hidden="1">
                <a:extLst>
                  <a:ext uri="{63B3BB69-23CF-44E3-9099-C40C66FF867C}">
                    <a14:compatExt spid="_x0000_s8228"/>
                  </a:ext>
                  <a:ext uri="{FF2B5EF4-FFF2-40B4-BE49-F238E27FC236}">
                    <a16:creationId xmlns:a16="http://schemas.microsoft.com/office/drawing/2014/main" id="{00000000-0008-0000-0700-00002420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8229" name="Check Box 37" hidden="1">
                <a:extLst>
                  <a:ext uri="{63B3BB69-23CF-44E3-9099-C40C66FF867C}">
                    <a14:compatExt spid="_x0000_s8229"/>
                  </a:ext>
                  <a:ext uri="{FF2B5EF4-FFF2-40B4-BE49-F238E27FC236}">
                    <a16:creationId xmlns:a16="http://schemas.microsoft.com/office/drawing/2014/main" id="{00000000-0008-0000-0700-00002520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8230" name="Check Box 38" hidden="1">
                <a:extLst>
                  <a:ext uri="{63B3BB69-23CF-44E3-9099-C40C66FF867C}">
                    <a14:compatExt spid="_x0000_s8230"/>
                  </a:ext>
                  <a:ext uri="{FF2B5EF4-FFF2-40B4-BE49-F238E27FC236}">
                    <a16:creationId xmlns:a16="http://schemas.microsoft.com/office/drawing/2014/main" id="{00000000-0008-0000-0700-00002620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8231" name="Check Box 39" hidden="1">
                <a:extLst>
                  <a:ext uri="{63B3BB69-23CF-44E3-9099-C40C66FF867C}">
                    <a14:compatExt spid="_x0000_s8231"/>
                  </a:ext>
                  <a:ext uri="{FF2B5EF4-FFF2-40B4-BE49-F238E27FC236}">
                    <a16:creationId xmlns:a16="http://schemas.microsoft.com/office/drawing/2014/main" id="{00000000-0008-0000-0700-00002720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8232" name="Check Box 40" hidden="1">
                <a:extLst>
                  <a:ext uri="{63B3BB69-23CF-44E3-9099-C40C66FF867C}">
                    <a14:compatExt spid="_x0000_s8232"/>
                  </a:ext>
                  <a:ext uri="{FF2B5EF4-FFF2-40B4-BE49-F238E27FC236}">
                    <a16:creationId xmlns:a16="http://schemas.microsoft.com/office/drawing/2014/main" id="{00000000-0008-0000-0700-00002820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8233" name="Check Box 41" hidden="1">
                <a:extLst>
                  <a:ext uri="{63B3BB69-23CF-44E3-9099-C40C66FF867C}">
                    <a14:compatExt spid="_x0000_s8233"/>
                  </a:ext>
                  <a:ext uri="{FF2B5EF4-FFF2-40B4-BE49-F238E27FC236}">
                    <a16:creationId xmlns:a16="http://schemas.microsoft.com/office/drawing/2014/main" id="{00000000-0008-0000-0700-00002920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8234" name="Check Box 42" hidden="1">
                <a:extLst>
                  <a:ext uri="{63B3BB69-23CF-44E3-9099-C40C66FF867C}">
                    <a14:compatExt spid="_x0000_s8234"/>
                  </a:ext>
                  <a:ext uri="{FF2B5EF4-FFF2-40B4-BE49-F238E27FC236}">
                    <a16:creationId xmlns:a16="http://schemas.microsoft.com/office/drawing/2014/main" id="{00000000-0008-0000-0700-00002A20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8235" name="Check Box 43" hidden="1">
                <a:extLst>
                  <a:ext uri="{63B3BB69-23CF-44E3-9099-C40C66FF867C}">
                    <a14:compatExt spid="_x0000_s8235"/>
                  </a:ext>
                  <a:ext uri="{FF2B5EF4-FFF2-40B4-BE49-F238E27FC236}">
                    <a16:creationId xmlns:a16="http://schemas.microsoft.com/office/drawing/2014/main" id="{00000000-0008-0000-0700-00002B20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7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8236" name="Check Box 44" hidden="1">
                <a:extLst>
                  <a:ext uri="{63B3BB69-23CF-44E3-9099-C40C66FF867C}">
                    <a14:compatExt spid="_x0000_s8236"/>
                  </a:ext>
                  <a:ext uri="{FF2B5EF4-FFF2-40B4-BE49-F238E27FC236}">
                    <a16:creationId xmlns:a16="http://schemas.microsoft.com/office/drawing/2014/main" id="{00000000-0008-0000-0700-00002C20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8237" name="Check Box 45" hidden="1">
                <a:extLst>
                  <a:ext uri="{63B3BB69-23CF-44E3-9099-C40C66FF867C}">
                    <a14:compatExt spid="_x0000_s8237"/>
                  </a:ext>
                  <a:ext uri="{FF2B5EF4-FFF2-40B4-BE49-F238E27FC236}">
                    <a16:creationId xmlns:a16="http://schemas.microsoft.com/office/drawing/2014/main" id="{00000000-0008-0000-0700-00002D20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8238" name="Check Box 46" descr="추락" hidden="1">
                <a:extLst>
                  <a:ext uri="{63B3BB69-23CF-44E3-9099-C40C66FF867C}">
                    <a14:compatExt spid="_x0000_s8238"/>
                  </a:ext>
                  <a:ext uri="{FF2B5EF4-FFF2-40B4-BE49-F238E27FC236}">
                    <a16:creationId xmlns:a16="http://schemas.microsoft.com/office/drawing/2014/main" id="{00000000-0008-0000-0700-00002E20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8239" name="Check Box 47" hidden="1">
                <a:extLst>
                  <a:ext uri="{63B3BB69-23CF-44E3-9099-C40C66FF867C}">
                    <a14:compatExt spid="_x0000_s8239"/>
                  </a:ext>
                  <a:ext uri="{FF2B5EF4-FFF2-40B4-BE49-F238E27FC236}">
                    <a16:creationId xmlns:a16="http://schemas.microsoft.com/office/drawing/2014/main" id="{00000000-0008-0000-0700-00002F20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8240" name="Check Box 48" hidden="1">
                <a:extLst>
                  <a:ext uri="{63B3BB69-23CF-44E3-9099-C40C66FF867C}">
                    <a14:compatExt spid="_x0000_s8240"/>
                  </a:ext>
                  <a:ext uri="{FF2B5EF4-FFF2-40B4-BE49-F238E27FC236}">
                    <a16:creationId xmlns:a16="http://schemas.microsoft.com/office/drawing/2014/main" id="{00000000-0008-0000-0700-00003020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8241" name="Check Box 49" hidden="1">
                <a:extLst>
                  <a:ext uri="{63B3BB69-23CF-44E3-9099-C40C66FF867C}">
                    <a14:compatExt spid="_x0000_s8241"/>
                  </a:ext>
                  <a:ext uri="{FF2B5EF4-FFF2-40B4-BE49-F238E27FC236}">
                    <a16:creationId xmlns:a16="http://schemas.microsoft.com/office/drawing/2014/main" id="{00000000-0008-0000-0700-00003120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8242" name="Check Box 50" hidden="1">
                <a:extLst>
                  <a:ext uri="{63B3BB69-23CF-44E3-9099-C40C66FF867C}">
                    <a14:compatExt spid="_x0000_s8242"/>
                  </a:ext>
                  <a:ext uri="{FF2B5EF4-FFF2-40B4-BE49-F238E27FC236}">
                    <a16:creationId xmlns:a16="http://schemas.microsoft.com/office/drawing/2014/main" id="{00000000-0008-0000-0700-00003220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8243" name="Check Box 51" hidden="1">
                <a:extLst>
                  <a:ext uri="{63B3BB69-23CF-44E3-9099-C40C66FF867C}">
                    <a14:compatExt spid="_x0000_s8243"/>
                  </a:ext>
                  <a:ext uri="{FF2B5EF4-FFF2-40B4-BE49-F238E27FC236}">
                    <a16:creationId xmlns:a16="http://schemas.microsoft.com/office/drawing/2014/main" id="{00000000-0008-0000-0700-00003320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8244" name="Check Box 52" hidden="1">
                <a:extLst>
                  <a:ext uri="{63B3BB69-23CF-44E3-9099-C40C66FF867C}">
                    <a14:compatExt spid="_x0000_s8244"/>
                  </a:ext>
                  <a:ext uri="{FF2B5EF4-FFF2-40B4-BE49-F238E27FC236}">
                    <a16:creationId xmlns:a16="http://schemas.microsoft.com/office/drawing/2014/main" id="{00000000-0008-0000-0700-00003420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7169" name="Check Box 1" hidden="1">
                <a:extLst>
                  <a:ext uri="{63B3BB69-23CF-44E3-9099-C40C66FF867C}">
                    <a14:compatExt spid="_x0000_s7169"/>
                  </a:ext>
                  <a:ext uri="{FF2B5EF4-FFF2-40B4-BE49-F238E27FC236}">
                    <a16:creationId xmlns:a16="http://schemas.microsoft.com/office/drawing/2014/main" id="{00000000-0008-0000-0800-0000011C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7170" name="Check Box 2" hidden="1">
                <a:extLst>
                  <a:ext uri="{63B3BB69-23CF-44E3-9099-C40C66FF867C}">
                    <a14:compatExt spid="_x0000_s7170"/>
                  </a:ext>
                  <a:ext uri="{FF2B5EF4-FFF2-40B4-BE49-F238E27FC236}">
                    <a16:creationId xmlns:a16="http://schemas.microsoft.com/office/drawing/2014/main" id="{00000000-0008-0000-0800-0000021C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7171" name="Check Box 3" hidden="1">
                <a:extLst>
                  <a:ext uri="{63B3BB69-23CF-44E3-9099-C40C66FF867C}">
                    <a14:compatExt spid="_x0000_s7171"/>
                  </a:ext>
                  <a:ext uri="{FF2B5EF4-FFF2-40B4-BE49-F238E27FC236}">
                    <a16:creationId xmlns:a16="http://schemas.microsoft.com/office/drawing/2014/main" id="{00000000-0008-0000-0800-0000031C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7172" name="Check Box 4" hidden="1">
                <a:extLst>
                  <a:ext uri="{63B3BB69-23CF-44E3-9099-C40C66FF867C}">
                    <a14:compatExt spid="_x0000_s7172"/>
                  </a:ext>
                  <a:ext uri="{FF2B5EF4-FFF2-40B4-BE49-F238E27FC236}">
                    <a16:creationId xmlns:a16="http://schemas.microsoft.com/office/drawing/2014/main" id="{00000000-0008-0000-0800-0000041C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7173" name="Check Box 5" hidden="1">
                <a:extLst>
                  <a:ext uri="{63B3BB69-23CF-44E3-9099-C40C66FF867C}">
                    <a14:compatExt spid="_x0000_s7173"/>
                  </a:ext>
                  <a:ext uri="{FF2B5EF4-FFF2-40B4-BE49-F238E27FC236}">
                    <a16:creationId xmlns:a16="http://schemas.microsoft.com/office/drawing/2014/main" id="{00000000-0008-0000-0800-0000051C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7174" name="Check Box 6" hidden="1">
                <a:extLst>
                  <a:ext uri="{63B3BB69-23CF-44E3-9099-C40C66FF867C}">
                    <a14:compatExt spid="_x0000_s7174"/>
                  </a:ext>
                  <a:ext uri="{FF2B5EF4-FFF2-40B4-BE49-F238E27FC236}">
                    <a16:creationId xmlns:a16="http://schemas.microsoft.com/office/drawing/2014/main" id="{00000000-0008-0000-0800-0000061C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7175" name="Check Box 7" hidden="1">
                <a:extLst>
                  <a:ext uri="{63B3BB69-23CF-44E3-9099-C40C66FF867C}">
                    <a14:compatExt spid="_x0000_s7175"/>
                  </a:ext>
                  <a:ext uri="{FF2B5EF4-FFF2-40B4-BE49-F238E27FC236}">
                    <a16:creationId xmlns:a16="http://schemas.microsoft.com/office/drawing/2014/main" id="{00000000-0008-0000-0800-0000071C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7176" name="Check Box 8" hidden="1">
                <a:extLst>
                  <a:ext uri="{63B3BB69-23CF-44E3-9099-C40C66FF867C}">
                    <a14:compatExt spid="_x0000_s7176"/>
                  </a:ext>
                  <a:ext uri="{FF2B5EF4-FFF2-40B4-BE49-F238E27FC236}">
                    <a16:creationId xmlns:a16="http://schemas.microsoft.com/office/drawing/2014/main" id="{00000000-0008-0000-0800-0000081C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7177" name="Check Box 9" hidden="1">
                <a:extLst>
                  <a:ext uri="{63B3BB69-23CF-44E3-9099-C40C66FF867C}">
                    <a14:compatExt spid="_x0000_s7177"/>
                  </a:ext>
                  <a:ext uri="{FF2B5EF4-FFF2-40B4-BE49-F238E27FC236}">
                    <a16:creationId xmlns:a16="http://schemas.microsoft.com/office/drawing/2014/main" id="{00000000-0008-0000-0800-0000091C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7178" name="Check Box 10" hidden="1">
                <a:extLst>
                  <a:ext uri="{63B3BB69-23CF-44E3-9099-C40C66FF867C}">
                    <a14:compatExt spid="_x0000_s7178"/>
                  </a:ext>
                  <a:ext uri="{FF2B5EF4-FFF2-40B4-BE49-F238E27FC236}">
                    <a16:creationId xmlns:a16="http://schemas.microsoft.com/office/drawing/2014/main" id="{00000000-0008-0000-0800-00000A1C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7179" name="Check Box 11" hidden="1">
                <a:extLst>
                  <a:ext uri="{63B3BB69-23CF-44E3-9099-C40C66FF867C}">
                    <a14:compatExt spid="_x0000_s7179"/>
                  </a:ext>
                  <a:ext uri="{FF2B5EF4-FFF2-40B4-BE49-F238E27FC236}">
                    <a16:creationId xmlns:a16="http://schemas.microsoft.com/office/drawing/2014/main" id="{00000000-0008-0000-0800-00000B1C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7180" name="Check Box 12" hidden="1">
                <a:extLst>
                  <a:ext uri="{63B3BB69-23CF-44E3-9099-C40C66FF867C}">
                    <a14:compatExt spid="_x0000_s7180"/>
                  </a:ext>
                  <a:ext uri="{FF2B5EF4-FFF2-40B4-BE49-F238E27FC236}">
                    <a16:creationId xmlns:a16="http://schemas.microsoft.com/office/drawing/2014/main" id="{00000000-0008-0000-0800-00000C1C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7181" name="Check Box 13" hidden="1">
                <a:extLst>
                  <a:ext uri="{63B3BB69-23CF-44E3-9099-C40C66FF867C}">
                    <a14:compatExt spid="_x0000_s7181"/>
                  </a:ext>
                  <a:ext uri="{FF2B5EF4-FFF2-40B4-BE49-F238E27FC236}">
                    <a16:creationId xmlns:a16="http://schemas.microsoft.com/office/drawing/2014/main" id="{00000000-0008-0000-0800-00000D1C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7182" name="Check Box 14" hidden="1">
                <a:extLst>
                  <a:ext uri="{63B3BB69-23CF-44E3-9099-C40C66FF867C}">
                    <a14:compatExt spid="_x0000_s7182"/>
                  </a:ext>
                  <a:ext uri="{FF2B5EF4-FFF2-40B4-BE49-F238E27FC236}">
                    <a16:creationId xmlns:a16="http://schemas.microsoft.com/office/drawing/2014/main" id="{00000000-0008-0000-0800-00000E1C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8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7183" name="Check Box 15" hidden="1">
                <a:extLst>
                  <a:ext uri="{63B3BB69-23CF-44E3-9099-C40C66FF867C}">
                    <a14:compatExt spid="_x0000_s7183"/>
                  </a:ext>
                  <a:ext uri="{FF2B5EF4-FFF2-40B4-BE49-F238E27FC236}">
                    <a16:creationId xmlns:a16="http://schemas.microsoft.com/office/drawing/2014/main" id="{00000000-0008-0000-0800-00000F1C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7184" name="Check Box 16" hidden="1">
                <a:extLst>
                  <a:ext uri="{63B3BB69-23CF-44E3-9099-C40C66FF867C}">
                    <a14:compatExt spid="_x0000_s7184"/>
                  </a:ext>
                  <a:ext uri="{FF2B5EF4-FFF2-40B4-BE49-F238E27FC236}">
                    <a16:creationId xmlns:a16="http://schemas.microsoft.com/office/drawing/2014/main" id="{00000000-0008-0000-0800-0000101C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7185" name="Check Box 17" hidden="1">
                <a:extLst>
                  <a:ext uri="{63B3BB69-23CF-44E3-9099-C40C66FF867C}">
                    <a14:compatExt spid="_x0000_s7185"/>
                  </a:ext>
                  <a:ext uri="{FF2B5EF4-FFF2-40B4-BE49-F238E27FC236}">
                    <a16:creationId xmlns:a16="http://schemas.microsoft.com/office/drawing/2014/main" id="{00000000-0008-0000-0800-0000111C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7186" name="Check Box 18" hidden="1">
                <a:extLst>
                  <a:ext uri="{63B3BB69-23CF-44E3-9099-C40C66FF867C}">
                    <a14:compatExt spid="_x0000_s7186"/>
                  </a:ext>
                  <a:ext uri="{FF2B5EF4-FFF2-40B4-BE49-F238E27FC236}">
                    <a16:creationId xmlns:a16="http://schemas.microsoft.com/office/drawing/2014/main" id="{00000000-0008-0000-0800-0000121C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800-0000131C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800-0000141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7189" name="Check Box 21" hidden="1">
                <a:extLst>
                  <a:ext uri="{63B3BB69-23CF-44E3-9099-C40C66FF867C}">
                    <a14:compatExt spid="_x0000_s7189"/>
                  </a:ext>
                  <a:ext uri="{FF2B5EF4-FFF2-40B4-BE49-F238E27FC236}">
                    <a16:creationId xmlns:a16="http://schemas.microsoft.com/office/drawing/2014/main" id="{00000000-0008-0000-0800-0000151C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7190" name="Check Box 22" hidden="1">
                <a:extLst>
                  <a:ext uri="{63B3BB69-23CF-44E3-9099-C40C66FF867C}">
                    <a14:compatExt spid="_x0000_s7190"/>
                  </a:ext>
                  <a:ext uri="{FF2B5EF4-FFF2-40B4-BE49-F238E27FC236}">
                    <a16:creationId xmlns:a16="http://schemas.microsoft.com/office/drawing/2014/main" id="{00000000-0008-0000-0800-0000161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7191" name="Check Box 23" hidden="1">
                <a:extLst>
                  <a:ext uri="{63B3BB69-23CF-44E3-9099-C40C66FF867C}">
                    <a14:compatExt spid="_x0000_s7191"/>
                  </a:ext>
                  <a:ext uri="{FF2B5EF4-FFF2-40B4-BE49-F238E27FC236}">
                    <a16:creationId xmlns:a16="http://schemas.microsoft.com/office/drawing/2014/main" id="{00000000-0008-0000-0800-0000171C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7192" name="Check Box 24" hidden="1">
                <a:extLst>
                  <a:ext uri="{63B3BB69-23CF-44E3-9099-C40C66FF867C}">
                    <a14:compatExt spid="_x0000_s7192"/>
                  </a:ext>
                  <a:ext uri="{FF2B5EF4-FFF2-40B4-BE49-F238E27FC236}">
                    <a16:creationId xmlns:a16="http://schemas.microsoft.com/office/drawing/2014/main" id="{00000000-0008-0000-0800-0000181C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7193" name="Check Box 25" hidden="1">
                <a:extLst>
                  <a:ext uri="{63B3BB69-23CF-44E3-9099-C40C66FF867C}">
                    <a14:compatExt spid="_x0000_s7193"/>
                  </a:ext>
                  <a:ext uri="{FF2B5EF4-FFF2-40B4-BE49-F238E27FC236}">
                    <a16:creationId xmlns:a16="http://schemas.microsoft.com/office/drawing/2014/main" id="{00000000-0008-0000-0800-0000191C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8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7194" name="Check Box 26" hidden="1">
                <a:extLst>
                  <a:ext uri="{63B3BB69-23CF-44E3-9099-C40C66FF867C}">
                    <a14:compatExt spid="_x0000_s7194"/>
                  </a:ext>
                  <a:ext uri="{FF2B5EF4-FFF2-40B4-BE49-F238E27FC236}">
                    <a16:creationId xmlns:a16="http://schemas.microsoft.com/office/drawing/2014/main" id="{00000000-0008-0000-0800-00001A1C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7195" name="Check Box 27" hidden="1">
                <a:extLst>
                  <a:ext uri="{63B3BB69-23CF-44E3-9099-C40C66FF867C}">
                    <a14:compatExt spid="_x0000_s7195"/>
                  </a:ext>
                  <a:ext uri="{FF2B5EF4-FFF2-40B4-BE49-F238E27FC236}">
                    <a16:creationId xmlns:a16="http://schemas.microsoft.com/office/drawing/2014/main" id="{00000000-0008-0000-0800-00001B1C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7196" name="Check Box 28" hidden="1">
                <a:extLst>
                  <a:ext uri="{63B3BB69-23CF-44E3-9099-C40C66FF867C}">
                    <a14:compatExt spid="_x0000_s7196"/>
                  </a:ext>
                  <a:ext uri="{FF2B5EF4-FFF2-40B4-BE49-F238E27FC236}">
                    <a16:creationId xmlns:a16="http://schemas.microsoft.com/office/drawing/2014/main" id="{00000000-0008-0000-0800-00001C1C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7197" name="Check Box 29" hidden="1">
                <a:extLst>
                  <a:ext uri="{63B3BB69-23CF-44E3-9099-C40C66FF867C}">
                    <a14:compatExt spid="_x0000_s7197"/>
                  </a:ext>
                  <a:ext uri="{FF2B5EF4-FFF2-40B4-BE49-F238E27FC236}">
                    <a16:creationId xmlns:a16="http://schemas.microsoft.com/office/drawing/2014/main" id="{00000000-0008-0000-0800-00001D1C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800-00001E1C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800-00001F1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800-0000201C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800-0000211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800-0000221C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8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7203" name="Check Box 35" hidden="1">
                <a:extLst>
                  <a:ext uri="{63B3BB69-23CF-44E3-9099-C40C66FF867C}">
                    <a14:compatExt spid="_x0000_s7203"/>
                  </a:ext>
                  <a:ext uri="{FF2B5EF4-FFF2-40B4-BE49-F238E27FC236}">
                    <a16:creationId xmlns:a16="http://schemas.microsoft.com/office/drawing/2014/main" id="{00000000-0008-0000-0800-0000231C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7204" name="Check Box 36" hidden="1">
                <a:extLst>
                  <a:ext uri="{63B3BB69-23CF-44E3-9099-C40C66FF867C}">
                    <a14:compatExt spid="_x0000_s7204"/>
                  </a:ext>
                  <a:ext uri="{FF2B5EF4-FFF2-40B4-BE49-F238E27FC236}">
                    <a16:creationId xmlns:a16="http://schemas.microsoft.com/office/drawing/2014/main" id="{00000000-0008-0000-0800-0000241C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7205" name="Check Box 37" hidden="1">
                <a:extLst>
                  <a:ext uri="{63B3BB69-23CF-44E3-9099-C40C66FF867C}">
                    <a14:compatExt spid="_x0000_s7205"/>
                  </a:ext>
                  <a:ext uri="{FF2B5EF4-FFF2-40B4-BE49-F238E27FC236}">
                    <a16:creationId xmlns:a16="http://schemas.microsoft.com/office/drawing/2014/main" id="{00000000-0008-0000-0800-0000251C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7206" name="Check Box 38" hidden="1">
                <a:extLst>
                  <a:ext uri="{63B3BB69-23CF-44E3-9099-C40C66FF867C}">
                    <a14:compatExt spid="_x0000_s7206"/>
                  </a:ext>
                  <a:ext uri="{FF2B5EF4-FFF2-40B4-BE49-F238E27FC236}">
                    <a16:creationId xmlns:a16="http://schemas.microsoft.com/office/drawing/2014/main" id="{00000000-0008-0000-0800-0000261C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7207" name="Check Box 39" hidden="1">
                <a:extLst>
                  <a:ext uri="{63B3BB69-23CF-44E3-9099-C40C66FF867C}">
                    <a14:compatExt spid="_x0000_s7207"/>
                  </a:ext>
                  <a:ext uri="{FF2B5EF4-FFF2-40B4-BE49-F238E27FC236}">
                    <a16:creationId xmlns:a16="http://schemas.microsoft.com/office/drawing/2014/main" id="{00000000-0008-0000-0800-0000271C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7208" name="Check Box 40" hidden="1">
                <a:extLst>
                  <a:ext uri="{63B3BB69-23CF-44E3-9099-C40C66FF867C}">
                    <a14:compatExt spid="_x0000_s7208"/>
                  </a:ext>
                  <a:ext uri="{FF2B5EF4-FFF2-40B4-BE49-F238E27FC236}">
                    <a16:creationId xmlns:a16="http://schemas.microsoft.com/office/drawing/2014/main" id="{00000000-0008-0000-0800-0000281C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7209" name="Check Box 41" hidden="1">
                <a:extLst>
                  <a:ext uri="{63B3BB69-23CF-44E3-9099-C40C66FF867C}">
                    <a14:compatExt spid="_x0000_s7209"/>
                  </a:ext>
                  <a:ext uri="{FF2B5EF4-FFF2-40B4-BE49-F238E27FC236}">
                    <a16:creationId xmlns:a16="http://schemas.microsoft.com/office/drawing/2014/main" id="{00000000-0008-0000-0800-0000291C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7210" name="Check Box 42" hidden="1">
                <a:extLst>
                  <a:ext uri="{63B3BB69-23CF-44E3-9099-C40C66FF867C}">
                    <a14:compatExt spid="_x0000_s7210"/>
                  </a:ext>
                  <a:ext uri="{FF2B5EF4-FFF2-40B4-BE49-F238E27FC236}">
                    <a16:creationId xmlns:a16="http://schemas.microsoft.com/office/drawing/2014/main" id="{00000000-0008-0000-0800-00002A1C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7211" name="Check Box 43" hidden="1">
                <a:extLst>
                  <a:ext uri="{63B3BB69-23CF-44E3-9099-C40C66FF867C}">
                    <a14:compatExt spid="_x0000_s7211"/>
                  </a:ext>
                  <a:ext uri="{FF2B5EF4-FFF2-40B4-BE49-F238E27FC236}">
                    <a16:creationId xmlns:a16="http://schemas.microsoft.com/office/drawing/2014/main" id="{00000000-0008-0000-0800-00002B1C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8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7212" name="Check Box 44" hidden="1">
                <a:extLst>
                  <a:ext uri="{63B3BB69-23CF-44E3-9099-C40C66FF867C}">
                    <a14:compatExt spid="_x0000_s7212"/>
                  </a:ext>
                  <a:ext uri="{FF2B5EF4-FFF2-40B4-BE49-F238E27FC236}">
                    <a16:creationId xmlns:a16="http://schemas.microsoft.com/office/drawing/2014/main" id="{00000000-0008-0000-0800-00002C1C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7213" name="Check Box 45" hidden="1">
                <a:extLst>
                  <a:ext uri="{63B3BB69-23CF-44E3-9099-C40C66FF867C}">
                    <a14:compatExt spid="_x0000_s7213"/>
                  </a:ext>
                  <a:ext uri="{FF2B5EF4-FFF2-40B4-BE49-F238E27FC236}">
                    <a16:creationId xmlns:a16="http://schemas.microsoft.com/office/drawing/2014/main" id="{00000000-0008-0000-0800-00002D1C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7214" name="Check Box 46" descr="추락" hidden="1">
                <a:extLst>
                  <a:ext uri="{63B3BB69-23CF-44E3-9099-C40C66FF867C}">
                    <a14:compatExt spid="_x0000_s7214"/>
                  </a:ext>
                  <a:ext uri="{FF2B5EF4-FFF2-40B4-BE49-F238E27FC236}">
                    <a16:creationId xmlns:a16="http://schemas.microsoft.com/office/drawing/2014/main" id="{00000000-0008-0000-0800-00002E1C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7215" name="Check Box 47" hidden="1">
                <a:extLst>
                  <a:ext uri="{63B3BB69-23CF-44E3-9099-C40C66FF867C}">
                    <a14:compatExt spid="_x0000_s7215"/>
                  </a:ext>
                  <a:ext uri="{FF2B5EF4-FFF2-40B4-BE49-F238E27FC236}">
                    <a16:creationId xmlns:a16="http://schemas.microsoft.com/office/drawing/2014/main" id="{00000000-0008-0000-0800-00002F1C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7216" name="Check Box 48" hidden="1">
                <a:extLst>
                  <a:ext uri="{63B3BB69-23CF-44E3-9099-C40C66FF867C}">
                    <a14:compatExt spid="_x0000_s7216"/>
                  </a:ext>
                  <a:ext uri="{FF2B5EF4-FFF2-40B4-BE49-F238E27FC236}">
                    <a16:creationId xmlns:a16="http://schemas.microsoft.com/office/drawing/2014/main" id="{00000000-0008-0000-0800-0000301C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7217" name="Check Box 49" hidden="1">
                <a:extLst>
                  <a:ext uri="{63B3BB69-23CF-44E3-9099-C40C66FF867C}">
                    <a14:compatExt spid="_x0000_s7217"/>
                  </a:ext>
                  <a:ext uri="{FF2B5EF4-FFF2-40B4-BE49-F238E27FC236}">
                    <a16:creationId xmlns:a16="http://schemas.microsoft.com/office/drawing/2014/main" id="{00000000-0008-0000-0800-0000311C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7218" name="Check Box 50" hidden="1">
                <a:extLst>
                  <a:ext uri="{63B3BB69-23CF-44E3-9099-C40C66FF867C}">
                    <a14:compatExt spid="_x0000_s7218"/>
                  </a:ext>
                  <a:ext uri="{FF2B5EF4-FFF2-40B4-BE49-F238E27FC236}">
                    <a16:creationId xmlns:a16="http://schemas.microsoft.com/office/drawing/2014/main" id="{00000000-0008-0000-0800-0000321C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7219" name="Check Box 51" hidden="1">
                <a:extLst>
                  <a:ext uri="{63B3BB69-23CF-44E3-9099-C40C66FF867C}">
                    <a14:compatExt spid="_x0000_s7219"/>
                  </a:ext>
                  <a:ext uri="{FF2B5EF4-FFF2-40B4-BE49-F238E27FC236}">
                    <a16:creationId xmlns:a16="http://schemas.microsoft.com/office/drawing/2014/main" id="{00000000-0008-0000-0800-0000331C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7220" name="Check Box 52" hidden="1">
                <a:extLst>
                  <a:ext uri="{63B3BB69-23CF-44E3-9099-C40C66FF867C}">
                    <a14:compatExt spid="_x0000_s7220"/>
                  </a:ext>
                  <a:ext uri="{FF2B5EF4-FFF2-40B4-BE49-F238E27FC236}">
                    <a16:creationId xmlns:a16="http://schemas.microsoft.com/office/drawing/2014/main" id="{00000000-0008-0000-0800-0000341C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5121" name="Check Box 1" hidden="1">
                <a:extLst>
                  <a:ext uri="{63B3BB69-23CF-44E3-9099-C40C66FF867C}">
                    <a14:compatExt spid="_x0000_s5121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5122" name="Check Box 2" hidden="1">
                <a:extLst>
                  <a:ext uri="{63B3BB69-23CF-44E3-9099-C40C66FF867C}">
                    <a14:compatExt spid="_x0000_s5122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5123" name="Check Box 3" hidden="1">
                <a:extLst>
                  <a:ext uri="{63B3BB69-23CF-44E3-9099-C40C66FF867C}">
                    <a14:compatExt spid="_x0000_s5123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5131" name="Check Box 11" hidden="1">
                <a:extLst>
                  <a:ext uri="{63B3BB69-23CF-44E3-9099-C40C66FF867C}">
                    <a14:compatExt spid="_x0000_s5131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5132" name="Check Box 12" hidden="1">
                <a:extLst>
                  <a:ext uri="{63B3BB69-23CF-44E3-9099-C40C66FF867C}">
                    <a14:compatExt spid="_x0000_s5132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5133" name="Check Box 13" hidden="1">
                <a:extLst>
                  <a:ext uri="{63B3BB69-23CF-44E3-9099-C40C66FF867C}">
                    <a14:compatExt spid="_x0000_s5133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5134" name="Check Box 14" hidden="1">
                <a:extLst>
                  <a:ext uri="{63B3BB69-23CF-44E3-9099-C40C66FF867C}">
                    <a14:compatExt spid="_x0000_s5134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5135" name="Check Box 15" hidden="1">
                <a:extLst>
                  <a:ext uri="{63B3BB69-23CF-44E3-9099-C40C66FF867C}">
                    <a14:compatExt spid="_x0000_s5135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5136" name="Check Box 16" hidden="1">
                <a:extLst>
                  <a:ext uri="{63B3BB69-23CF-44E3-9099-C40C66FF867C}">
                    <a14:compatExt spid="_x0000_s5136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5137" name="Check Box 17" hidden="1">
                <a:extLst>
                  <a:ext uri="{63B3BB69-23CF-44E3-9099-C40C66FF867C}">
                    <a14:compatExt spid="_x0000_s5137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5138" name="Check Box 18" hidden="1">
                <a:extLst>
                  <a:ext uri="{63B3BB69-23CF-44E3-9099-C40C66FF867C}">
                    <a14:compatExt spid="_x0000_s5138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5139" name="Check Box 19" hidden="1">
                <a:extLst>
                  <a:ext uri="{63B3BB69-23CF-44E3-9099-C40C66FF867C}">
                    <a14:compatExt spid="_x0000_s5139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5140" name="Check Box 20" hidden="1">
                <a:extLst>
                  <a:ext uri="{63B3BB69-23CF-44E3-9099-C40C66FF867C}">
                    <a14:compatExt spid="_x0000_s5140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5141" name="Check Box 21" hidden="1">
                <a:extLst>
                  <a:ext uri="{63B3BB69-23CF-44E3-9099-C40C66FF867C}">
                    <a14:compatExt spid="_x0000_s5141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5142" name="Check Box 22" hidden="1">
                <a:extLst>
                  <a:ext uri="{63B3BB69-23CF-44E3-9099-C40C66FF867C}">
                    <a14:compatExt spid="_x0000_s5142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5143" name="Check Box 23" hidden="1">
                <a:extLst>
                  <a:ext uri="{63B3BB69-23CF-44E3-9099-C40C66FF867C}">
                    <a14:compatExt spid="_x0000_s5143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5144" name="Check Box 24" hidden="1">
                <a:extLst>
                  <a:ext uri="{63B3BB69-23CF-44E3-9099-C40C66FF867C}">
                    <a14:compatExt spid="_x0000_s5144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5145" name="Check Box 25" hidden="1">
                <a:extLst>
                  <a:ext uri="{63B3BB69-23CF-44E3-9099-C40C66FF867C}">
                    <a14:compatExt spid="_x0000_s5145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5146" name="Check Box 26" hidden="1">
                <a:extLst>
                  <a:ext uri="{63B3BB69-23CF-44E3-9099-C40C66FF867C}">
                    <a14:compatExt spid="_x0000_s5146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5147" name="Check Box 27" hidden="1">
                <a:extLst>
                  <a:ext uri="{63B3BB69-23CF-44E3-9099-C40C66FF867C}">
                    <a14:compatExt spid="_x0000_s5147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5148" name="Check Box 28" hidden="1">
                <a:extLst>
                  <a:ext uri="{63B3BB69-23CF-44E3-9099-C40C66FF867C}">
                    <a14:compatExt spid="_x0000_s5148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5149" name="Check Box 29" hidden="1">
                <a:extLst>
                  <a:ext uri="{63B3BB69-23CF-44E3-9099-C40C66FF867C}">
                    <a14:compatExt spid="_x0000_s5149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5150" name="Check Box 30" hidden="1">
                <a:extLst>
                  <a:ext uri="{63B3BB69-23CF-44E3-9099-C40C66FF867C}">
                    <a14:compatExt spid="_x0000_s5150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5151" name="Check Box 31" hidden="1">
                <a:extLst>
                  <a:ext uri="{63B3BB69-23CF-44E3-9099-C40C66FF867C}">
                    <a14:compatExt spid="_x0000_s5151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5152" name="Check Box 32" hidden="1">
                <a:extLst>
                  <a:ext uri="{63B3BB69-23CF-44E3-9099-C40C66FF867C}">
                    <a14:compatExt spid="_x0000_s5152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5153" name="Check Box 33" hidden="1">
                <a:extLst>
                  <a:ext uri="{63B3BB69-23CF-44E3-9099-C40C66FF867C}">
                    <a14:compatExt spid="_x0000_s5153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5154" name="Check Box 34" hidden="1">
                <a:extLst>
                  <a:ext uri="{63B3BB69-23CF-44E3-9099-C40C66FF867C}">
                    <a14:compatExt spid="_x0000_s5154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5155" name="Check Box 35" hidden="1">
                <a:extLst>
                  <a:ext uri="{63B3BB69-23CF-44E3-9099-C40C66FF867C}">
                    <a14:compatExt spid="_x0000_s5155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5156" name="Check Box 36" hidden="1">
                <a:extLst>
                  <a:ext uri="{63B3BB69-23CF-44E3-9099-C40C66FF867C}">
                    <a14:compatExt spid="_x0000_s5156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5157" name="Check Box 37" hidden="1">
                <a:extLst>
                  <a:ext uri="{63B3BB69-23CF-44E3-9099-C40C66FF867C}">
                    <a14:compatExt spid="_x0000_s5157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5158" name="Check Box 38" hidden="1">
                <a:extLst>
                  <a:ext uri="{63B3BB69-23CF-44E3-9099-C40C66FF867C}">
                    <a14:compatExt spid="_x0000_s5158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5159" name="Check Box 39" hidden="1">
                <a:extLst>
                  <a:ext uri="{63B3BB69-23CF-44E3-9099-C40C66FF867C}">
                    <a14:compatExt spid="_x0000_s5159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5160" name="Check Box 40" hidden="1">
                <a:extLst>
                  <a:ext uri="{63B3BB69-23CF-44E3-9099-C40C66FF867C}">
                    <a14:compatExt spid="_x0000_s5160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5161" name="Check Box 41" hidden="1">
                <a:extLst>
                  <a:ext uri="{63B3BB69-23CF-44E3-9099-C40C66FF867C}">
                    <a14:compatExt spid="_x0000_s5161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5162" name="Check Box 42" hidden="1">
                <a:extLst>
                  <a:ext uri="{63B3BB69-23CF-44E3-9099-C40C66FF867C}">
                    <a14:compatExt spid="_x0000_s5162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5163" name="Check Box 43" hidden="1">
                <a:extLst>
                  <a:ext uri="{63B3BB69-23CF-44E3-9099-C40C66FF867C}">
                    <a14:compatExt spid="_x0000_s5163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00000000-0008-0000-09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5164" name="Check Box 44" hidden="1">
                <a:extLst>
                  <a:ext uri="{63B3BB69-23CF-44E3-9099-C40C66FF867C}">
                    <a14:compatExt spid="_x0000_s5164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5165" name="Check Box 45" hidden="1">
                <a:extLst>
                  <a:ext uri="{63B3BB69-23CF-44E3-9099-C40C66FF867C}">
                    <a14:compatExt spid="_x0000_s5165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5166" name="Check Box 46" descr="추락" hidden="1">
                <a:extLst>
                  <a:ext uri="{63B3BB69-23CF-44E3-9099-C40C66FF867C}">
                    <a14:compatExt spid="_x0000_s5166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5167" name="Check Box 47" hidden="1">
                <a:extLst>
                  <a:ext uri="{63B3BB69-23CF-44E3-9099-C40C66FF867C}">
                    <a14:compatExt spid="_x0000_s5167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5168" name="Check Box 48" hidden="1">
                <a:extLst>
                  <a:ext uri="{63B3BB69-23CF-44E3-9099-C40C66FF867C}">
                    <a14:compatExt spid="_x0000_s5168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5169" name="Check Box 49" hidden="1">
                <a:extLst>
                  <a:ext uri="{63B3BB69-23CF-44E3-9099-C40C66FF867C}">
                    <a14:compatExt spid="_x0000_s5169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5170" name="Check Box 50" hidden="1">
                <a:extLst>
                  <a:ext uri="{63B3BB69-23CF-44E3-9099-C40C66FF867C}">
                    <a14:compatExt spid="_x0000_s5170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5171" name="Check Box 51" hidden="1">
                <a:extLst>
                  <a:ext uri="{63B3BB69-23CF-44E3-9099-C40C66FF867C}">
                    <a14:compatExt spid="_x0000_s5171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5172" name="Check Box 52" hidden="1">
                <a:extLst>
                  <a:ext uri="{63B3BB69-23CF-44E3-9099-C40C66FF867C}">
                    <a14:compatExt spid="_x0000_s5172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A10ADC6D-FD2B-4BC1-A634-2A7D7F5A851C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C9A77AFD-B974-451E-9CB8-8D1B97B1C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269264B0-A9E9-4A2D-B966-CE271A4C6F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5449957"/>
              <a:ext cx="1087507" cy="1478031"/>
              <a:chOff x="1883093" y="4572945"/>
              <a:chExt cx="969630" cy="1683079"/>
            </a:xfrm>
          </xdr:grpSpPr>
          <xdr:sp macro="" textlink="">
            <xdr:nvSpPr>
              <xdr:cNvPr id="20481" name="Check Box 1" hidden="1">
                <a:extLst>
                  <a:ext uri="{63B3BB69-23CF-44E3-9099-C40C66FF867C}">
                    <a14:compatExt spid="_x0000_s20481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0482" name="Check Box 2" hidden="1">
                <a:extLst>
                  <a:ext uri="{63B3BB69-23CF-44E3-9099-C40C66FF867C}">
                    <a14:compatExt spid="_x0000_s20482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0483" name="Check Box 3" hidden="1">
                <a:extLst>
                  <a:ext uri="{63B3BB69-23CF-44E3-9099-C40C66FF867C}">
                    <a14:compatExt spid="_x0000_s20483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0484" name="Check Box 4" hidden="1">
                <a:extLst>
                  <a:ext uri="{63B3BB69-23CF-44E3-9099-C40C66FF867C}">
                    <a14:compatExt spid="_x0000_s20484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0485" name="Check Box 5" hidden="1">
                <a:extLst>
                  <a:ext uri="{63B3BB69-23CF-44E3-9099-C40C66FF867C}">
                    <a14:compatExt spid="_x0000_s20485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0486" name="Check Box 6" hidden="1">
                <a:extLst>
                  <a:ext uri="{63B3BB69-23CF-44E3-9099-C40C66FF867C}">
                    <a14:compatExt spid="_x0000_s20486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0487" name="Check Box 7" hidden="1">
                <a:extLst>
                  <a:ext uri="{63B3BB69-23CF-44E3-9099-C40C66FF867C}">
                    <a14:compatExt spid="_x0000_s20487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0488" name="Check Box 8" hidden="1">
                <a:extLst>
                  <a:ext uri="{63B3BB69-23CF-44E3-9099-C40C66FF867C}">
                    <a14:compatExt spid="_x0000_s20488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D9D98938-4EAA-4AE9-AA2B-E9DCCBB3546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5742747"/>
              <a:ext cx="1758812" cy="461755"/>
              <a:chOff x="3535676" y="4572040"/>
              <a:chExt cx="1554480" cy="449561"/>
            </a:xfrm>
          </xdr:grpSpPr>
          <xdr:sp macro="" textlink="">
            <xdr:nvSpPr>
              <xdr:cNvPr id="20489" name="Check Box 9" hidden="1">
                <a:extLst>
                  <a:ext uri="{63B3BB69-23CF-44E3-9099-C40C66FF867C}">
                    <a14:compatExt spid="_x0000_s20489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0490" name="Check Box 10" hidden="1">
                <a:extLst>
                  <a:ext uri="{63B3BB69-23CF-44E3-9099-C40C66FF867C}">
                    <a14:compatExt spid="_x0000_s20490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0A660F20-ADBF-4784-9E0C-31A69DA1401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1349" y="5930762"/>
              <a:ext cx="781878" cy="725971"/>
              <a:chOff x="5394960" y="4838704"/>
              <a:chExt cx="568701" cy="722503"/>
            </a:xfrm>
          </xdr:grpSpPr>
          <xdr:sp macro="" textlink="">
            <xdr:nvSpPr>
              <xdr:cNvPr id="20491" name="Check Box 11" hidden="1">
                <a:extLst>
                  <a:ext uri="{63B3BB69-23CF-44E3-9099-C40C66FF867C}">
                    <a14:compatExt spid="_x0000_s20491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0492" name="Check Box 12" hidden="1">
                <a:extLst>
                  <a:ext uri="{63B3BB69-23CF-44E3-9099-C40C66FF867C}">
                    <a14:compatExt spid="_x0000_s20492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0493" name="Check Box 13" hidden="1">
                <a:extLst>
                  <a:ext uri="{63B3BB69-23CF-44E3-9099-C40C66FF867C}">
                    <a14:compatExt spid="_x0000_s20493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0494" name="Check Box 14" hidden="1">
                <a:extLst>
                  <a:ext uri="{63B3BB69-23CF-44E3-9099-C40C66FF867C}">
                    <a14:compatExt spid="_x0000_s20494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EA365F02-3F1B-4444-84E1-D0196C8D794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12221" y="3708538"/>
              <a:ext cx="1473062" cy="1496253"/>
              <a:chOff x="903513" y="4495526"/>
              <a:chExt cx="1122959" cy="1545362"/>
            </a:xfrm>
          </xdr:grpSpPr>
          <xdr:sp macro="" textlink="">
            <xdr:nvSpPr>
              <xdr:cNvPr id="20495" name="Check Box 15" hidden="1">
                <a:extLst>
                  <a:ext uri="{63B3BB69-23CF-44E3-9099-C40C66FF867C}">
                    <a14:compatExt spid="_x0000_s20495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0496" name="Check Box 16" hidden="1">
                <a:extLst>
                  <a:ext uri="{63B3BB69-23CF-44E3-9099-C40C66FF867C}">
                    <a14:compatExt spid="_x0000_s20496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0497" name="Check Box 17" hidden="1">
                <a:extLst>
                  <a:ext uri="{63B3BB69-23CF-44E3-9099-C40C66FF867C}">
                    <a14:compatExt spid="_x0000_s20497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0498" name="Check Box 18" hidden="1">
                <a:extLst>
                  <a:ext uri="{63B3BB69-23CF-44E3-9099-C40C66FF867C}">
                    <a14:compatExt spid="_x0000_s20498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0499" name="Check Box 19" hidden="1">
                <a:extLst>
                  <a:ext uri="{63B3BB69-23CF-44E3-9099-C40C66FF867C}">
                    <a14:compatExt spid="_x0000_s20499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0500" name="Check Box 20" hidden="1">
                <a:extLst>
                  <a:ext uri="{63B3BB69-23CF-44E3-9099-C40C66FF867C}">
                    <a14:compatExt spid="_x0000_s20500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0501" name="Check Box 21" hidden="1">
                <a:extLst>
                  <a:ext uri="{63B3BB69-23CF-44E3-9099-C40C66FF867C}">
                    <a14:compatExt spid="_x0000_s20501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0502" name="Check Box 22" hidden="1">
                <a:extLst>
                  <a:ext uri="{63B3BB69-23CF-44E3-9099-C40C66FF867C}">
                    <a14:compatExt spid="_x0000_s20502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0503" name="Check Box 23" hidden="1">
                <a:extLst>
                  <a:ext uri="{63B3BB69-23CF-44E3-9099-C40C66FF867C}">
                    <a14:compatExt spid="_x0000_s20503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40EB1EB5-6E8D-43BB-9C80-EAD1106D4F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7896" y="6297267"/>
              <a:ext cx="1758812" cy="378516"/>
              <a:chOff x="3535676" y="4533513"/>
              <a:chExt cx="1554480" cy="513808"/>
            </a:xfrm>
          </xdr:grpSpPr>
          <xdr:sp macro="" textlink="">
            <xdr:nvSpPr>
              <xdr:cNvPr id="20504" name="Check Box 24" hidden="1">
                <a:extLst>
                  <a:ext uri="{63B3BB69-23CF-44E3-9099-C40C66FF867C}">
                    <a14:compatExt spid="_x0000_s20504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0505" name="Check Box 25" hidden="1">
                <a:extLst>
                  <a:ext uri="{63B3BB69-23CF-44E3-9099-C40C66FF867C}">
                    <a14:compatExt spid="_x0000_s20505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29610A56-1233-4F77-BEC0-A6C766E9DA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0826" y="3708538"/>
              <a:ext cx="1347995" cy="1486728"/>
              <a:chOff x="903513" y="4495533"/>
              <a:chExt cx="1122959" cy="1535576"/>
            </a:xfrm>
          </xdr:grpSpPr>
          <xdr:sp macro="" textlink="">
            <xdr:nvSpPr>
              <xdr:cNvPr id="20506" name="Check Box 26" hidden="1">
                <a:extLst>
                  <a:ext uri="{63B3BB69-23CF-44E3-9099-C40C66FF867C}">
                    <a14:compatExt spid="_x0000_s20506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0507" name="Check Box 27" hidden="1">
                <a:extLst>
                  <a:ext uri="{63B3BB69-23CF-44E3-9099-C40C66FF867C}">
                    <a14:compatExt spid="_x0000_s20507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0508" name="Check Box 28" hidden="1">
                <a:extLst>
                  <a:ext uri="{63B3BB69-23CF-44E3-9099-C40C66FF867C}">
                    <a14:compatExt spid="_x0000_s20508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0509" name="Check Box 29" hidden="1">
                <a:extLst>
                  <a:ext uri="{63B3BB69-23CF-44E3-9099-C40C66FF867C}">
                    <a14:compatExt spid="_x0000_s20509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0510" name="Check Box 30" hidden="1">
                <a:extLst>
                  <a:ext uri="{63B3BB69-23CF-44E3-9099-C40C66FF867C}">
                    <a14:compatExt spid="_x0000_s20510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0511" name="Check Box 31" hidden="1">
                <a:extLst>
                  <a:ext uri="{63B3BB69-23CF-44E3-9099-C40C66FF867C}">
                    <a14:compatExt spid="_x0000_s20511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0512" name="Check Box 32" hidden="1">
                <a:extLst>
                  <a:ext uri="{63B3BB69-23CF-44E3-9099-C40C66FF867C}">
                    <a14:compatExt spid="_x0000_s20512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0513" name="Check Box 33" hidden="1">
                <a:extLst>
                  <a:ext uri="{63B3BB69-23CF-44E3-9099-C40C66FF867C}">
                    <a14:compatExt spid="_x0000_s20513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0514" name="Check Box 34" hidden="1">
                <a:extLst>
                  <a:ext uri="{63B3BB69-23CF-44E3-9099-C40C66FF867C}">
                    <a14:compatExt spid="_x0000_s20514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6A863405-D566-4E04-9393-367A7CC62E87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BD594A96-B220-488E-B4FD-72560032B205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942AE653-9BEB-474A-B0FF-5C9E5D6A4B5B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C66A307E-7209-4425-A7C8-E1CAB5D1169C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DA96B4AF-5C1B-48D7-A514-C41CB5B5B1CE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7DC201A-7810-46B7-9203-20CCBCE31FDC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82CA4B01-D537-482E-A082-541F278D66EF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78C41803-D349-4D74-804E-8D4EFD44C250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A85D061-31FC-4386-BA4F-2960DD234559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6116B045-8A10-4FE5-8DC0-975F62A738F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5425" y="4570343"/>
              <a:ext cx="1076325" cy="1803124"/>
              <a:chOff x="903513" y="4495523"/>
              <a:chExt cx="1122959" cy="1545361"/>
            </a:xfrm>
          </xdr:grpSpPr>
          <xdr:sp macro="" textlink="">
            <xdr:nvSpPr>
              <xdr:cNvPr id="20515" name="Check Box 35" hidden="1">
                <a:extLst>
                  <a:ext uri="{63B3BB69-23CF-44E3-9099-C40C66FF867C}">
                    <a14:compatExt spid="_x0000_s20515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0516" name="Check Box 36" hidden="1">
                <a:extLst>
                  <a:ext uri="{63B3BB69-23CF-44E3-9099-C40C66FF867C}">
                    <a14:compatExt spid="_x0000_s20516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0517" name="Check Box 37" hidden="1">
                <a:extLst>
                  <a:ext uri="{63B3BB69-23CF-44E3-9099-C40C66FF867C}">
                    <a14:compatExt spid="_x0000_s20517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0518" name="Check Box 38" hidden="1">
                <a:extLst>
                  <a:ext uri="{63B3BB69-23CF-44E3-9099-C40C66FF867C}">
                    <a14:compatExt spid="_x0000_s20518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0519" name="Check Box 39" hidden="1">
                <a:extLst>
                  <a:ext uri="{63B3BB69-23CF-44E3-9099-C40C66FF867C}">
                    <a14:compatExt spid="_x0000_s20519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0520" name="Check Box 40" hidden="1">
                <a:extLst>
                  <a:ext uri="{63B3BB69-23CF-44E3-9099-C40C66FF867C}">
                    <a14:compatExt spid="_x0000_s20520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0521" name="Check Box 41" hidden="1">
                <a:extLst>
                  <a:ext uri="{63B3BB69-23CF-44E3-9099-C40C66FF867C}">
                    <a14:compatExt spid="_x0000_s20521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0522" name="Check Box 42" hidden="1">
                <a:extLst>
                  <a:ext uri="{63B3BB69-23CF-44E3-9099-C40C66FF867C}">
                    <a14:compatExt spid="_x0000_s20522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0523" name="Check Box 43" hidden="1">
                <a:extLst>
                  <a:ext uri="{63B3BB69-23CF-44E3-9099-C40C66FF867C}">
                    <a14:compatExt spid="_x0000_s20523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E6E2F295-CBB2-4C10-A271-B67D2E0955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550" y="4570343"/>
              <a:ext cx="800100" cy="1803124"/>
              <a:chOff x="1676400" y="4286247"/>
              <a:chExt cx="800100" cy="1514491"/>
            </a:xfrm>
          </xdr:grpSpPr>
          <xdr:sp macro="" textlink="">
            <xdr:nvSpPr>
              <xdr:cNvPr id="20524" name="Check Box 44" hidden="1">
                <a:extLst>
                  <a:ext uri="{63B3BB69-23CF-44E3-9099-C40C66FF867C}">
                    <a14:compatExt spid="_x0000_s20524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0525" name="Check Box 45" hidden="1">
                <a:extLst>
                  <a:ext uri="{63B3BB69-23CF-44E3-9099-C40C66FF867C}">
                    <a14:compatExt spid="_x0000_s20525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0526" name="Check Box 46" descr="추락" hidden="1">
                <a:extLst>
                  <a:ext uri="{63B3BB69-23CF-44E3-9099-C40C66FF867C}">
                    <a14:compatExt spid="_x0000_s20526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0527" name="Check Box 47" hidden="1">
                <a:extLst>
                  <a:ext uri="{63B3BB69-23CF-44E3-9099-C40C66FF867C}">
                    <a14:compatExt spid="_x0000_s20527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0528" name="Check Box 48" hidden="1">
                <a:extLst>
                  <a:ext uri="{63B3BB69-23CF-44E3-9099-C40C66FF867C}">
                    <a14:compatExt spid="_x0000_s20528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0529" name="Check Box 49" hidden="1">
                <a:extLst>
                  <a:ext uri="{63B3BB69-23CF-44E3-9099-C40C66FF867C}">
                    <a14:compatExt spid="_x0000_s20529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0530" name="Check Box 50" hidden="1">
                <a:extLst>
                  <a:ext uri="{63B3BB69-23CF-44E3-9099-C40C66FF867C}">
                    <a14:compatExt spid="_x0000_s20530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0531" name="Check Box 51" hidden="1">
                <a:extLst>
                  <a:ext uri="{63B3BB69-23CF-44E3-9099-C40C66FF867C}">
                    <a14:compatExt spid="_x0000_s20531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0532" name="Check Box 52" hidden="1">
                <a:extLst>
                  <a:ext uri="{63B3BB69-23CF-44E3-9099-C40C66FF867C}">
                    <a14:compatExt spid="_x0000_s20532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463B2EE4-D48E-44F1-A231-84F53AD87206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04A472E9-CE48-4408-AE55-819A57BA6F95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82A81625-594B-4F3D-B286-300D2BDB8436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420047D9-169F-4C15-A14A-8C95D5E7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58A5A787-B7F8-47DF-89FB-4D9B1E26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68B0D036-B26D-442C-9F68-33CA8982446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363F2130-034C-48E1-B085-8BE6534A1B61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BB307220-3B78-4F0A-8F9B-B542AC628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0E2F9A4F-0493-4B9E-A7C7-0122D7541BB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1505" name="Check Box 1" hidden="1">
                <a:extLst>
                  <a:ext uri="{63B3BB69-23CF-44E3-9099-C40C66FF867C}">
                    <a14:compatExt spid="_x0000_s21505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1506" name="Check Box 2" hidden="1">
                <a:extLst>
                  <a:ext uri="{63B3BB69-23CF-44E3-9099-C40C66FF867C}">
                    <a14:compatExt spid="_x0000_s21506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1507" name="Check Box 3" hidden="1">
                <a:extLst>
                  <a:ext uri="{63B3BB69-23CF-44E3-9099-C40C66FF867C}">
                    <a14:compatExt spid="_x0000_s21507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1508" name="Check Box 4" hidden="1">
                <a:extLst>
                  <a:ext uri="{63B3BB69-23CF-44E3-9099-C40C66FF867C}">
                    <a14:compatExt spid="_x0000_s21508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1509" name="Check Box 5" hidden="1">
                <a:extLst>
                  <a:ext uri="{63B3BB69-23CF-44E3-9099-C40C66FF867C}">
                    <a14:compatExt spid="_x0000_s21509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1510" name="Check Box 6" hidden="1">
                <a:extLst>
                  <a:ext uri="{63B3BB69-23CF-44E3-9099-C40C66FF867C}">
                    <a14:compatExt spid="_x0000_s21510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1511" name="Check Box 7" hidden="1">
                <a:extLst>
                  <a:ext uri="{63B3BB69-23CF-44E3-9099-C40C66FF867C}">
                    <a14:compatExt spid="_x0000_s21511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1512" name="Check Box 8" hidden="1">
                <a:extLst>
                  <a:ext uri="{63B3BB69-23CF-44E3-9099-C40C66FF867C}">
                    <a14:compatExt spid="_x0000_s21512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2500503D-6B9D-4EBA-A3BF-9E5FD24452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1513" name="Check Box 9" hidden="1">
                <a:extLst>
                  <a:ext uri="{63B3BB69-23CF-44E3-9099-C40C66FF867C}">
                    <a14:compatExt spid="_x0000_s21513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1514" name="Check Box 10" hidden="1">
                <a:extLst>
                  <a:ext uri="{63B3BB69-23CF-44E3-9099-C40C66FF867C}">
                    <a14:compatExt spid="_x0000_s21514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162193A4-8E50-43C8-83B7-C88F353E1F5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1515" name="Check Box 11" hidden="1">
                <a:extLst>
                  <a:ext uri="{63B3BB69-23CF-44E3-9099-C40C66FF867C}">
                    <a14:compatExt spid="_x0000_s21515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1516" name="Check Box 12" hidden="1">
                <a:extLst>
                  <a:ext uri="{63B3BB69-23CF-44E3-9099-C40C66FF867C}">
                    <a14:compatExt spid="_x0000_s21516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1517" name="Check Box 13" hidden="1">
                <a:extLst>
                  <a:ext uri="{63B3BB69-23CF-44E3-9099-C40C66FF867C}">
                    <a14:compatExt spid="_x0000_s21517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1518" name="Check Box 14" hidden="1">
                <a:extLst>
                  <a:ext uri="{63B3BB69-23CF-44E3-9099-C40C66FF867C}">
                    <a14:compatExt spid="_x0000_s21518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E292011A-F3C8-4812-8F56-4D3469264C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1519" name="Check Box 15" hidden="1">
                <a:extLst>
                  <a:ext uri="{63B3BB69-23CF-44E3-9099-C40C66FF867C}">
                    <a14:compatExt spid="_x0000_s21519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1520" name="Check Box 16" hidden="1">
                <a:extLst>
                  <a:ext uri="{63B3BB69-23CF-44E3-9099-C40C66FF867C}">
                    <a14:compatExt spid="_x0000_s21520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1521" name="Check Box 17" hidden="1">
                <a:extLst>
                  <a:ext uri="{63B3BB69-23CF-44E3-9099-C40C66FF867C}">
                    <a14:compatExt spid="_x0000_s21521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1522" name="Check Box 18" hidden="1">
                <a:extLst>
                  <a:ext uri="{63B3BB69-23CF-44E3-9099-C40C66FF867C}">
                    <a14:compatExt spid="_x0000_s21522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1523" name="Check Box 19" hidden="1">
                <a:extLst>
                  <a:ext uri="{63B3BB69-23CF-44E3-9099-C40C66FF867C}">
                    <a14:compatExt spid="_x0000_s21523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1524" name="Check Box 20" hidden="1">
                <a:extLst>
                  <a:ext uri="{63B3BB69-23CF-44E3-9099-C40C66FF867C}">
                    <a14:compatExt spid="_x0000_s21524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1525" name="Check Box 21" hidden="1">
                <a:extLst>
                  <a:ext uri="{63B3BB69-23CF-44E3-9099-C40C66FF867C}">
                    <a14:compatExt spid="_x0000_s21525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1526" name="Check Box 22" hidden="1">
                <a:extLst>
                  <a:ext uri="{63B3BB69-23CF-44E3-9099-C40C66FF867C}">
                    <a14:compatExt spid="_x0000_s21526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1527" name="Check Box 23" hidden="1">
                <a:extLst>
                  <a:ext uri="{63B3BB69-23CF-44E3-9099-C40C66FF867C}">
                    <a14:compatExt spid="_x0000_s21527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EC0EFDA3-2E20-4A43-8417-7BE960241A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1528" name="Check Box 24" hidden="1">
                <a:extLst>
                  <a:ext uri="{63B3BB69-23CF-44E3-9099-C40C66FF867C}">
                    <a14:compatExt spid="_x0000_s21528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1529" name="Check Box 25" hidden="1">
                <a:extLst>
                  <a:ext uri="{63B3BB69-23CF-44E3-9099-C40C66FF867C}">
                    <a14:compatExt spid="_x0000_s21529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BF6BE18E-184D-43E8-9C4A-9004F0A54B3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1530" name="Check Box 26" hidden="1">
                <a:extLst>
                  <a:ext uri="{63B3BB69-23CF-44E3-9099-C40C66FF867C}">
                    <a14:compatExt spid="_x0000_s21530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1531" name="Check Box 27" hidden="1">
                <a:extLst>
                  <a:ext uri="{63B3BB69-23CF-44E3-9099-C40C66FF867C}">
                    <a14:compatExt spid="_x0000_s21531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1532" name="Check Box 28" hidden="1">
                <a:extLst>
                  <a:ext uri="{63B3BB69-23CF-44E3-9099-C40C66FF867C}">
                    <a14:compatExt spid="_x0000_s21532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1533" name="Check Box 29" hidden="1">
                <a:extLst>
                  <a:ext uri="{63B3BB69-23CF-44E3-9099-C40C66FF867C}">
                    <a14:compatExt spid="_x0000_s21533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1534" name="Check Box 30" hidden="1">
                <a:extLst>
                  <a:ext uri="{63B3BB69-23CF-44E3-9099-C40C66FF867C}">
                    <a14:compatExt spid="_x0000_s21534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1535" name="Check Box 31" hidden="1">
                <a:extLst>
                  <a:ext uri="{63B3BB69-23CF-44E3-9099-C40C66FF867C}">
                    <a14:compatExt spid="_x0000_s21535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1536" name="Check Box 32" hidden="1">
                <a:extLst>
                  <a:ext uri="{63B3BB69-23CF-44E3-9099-C40C66FF867C}">
                    <a14:compatExt spid="_x0000_s21536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1537" name="Check Box 33" hidden="1">
                <a:extLst>
                  <a:ext uri="{63B3BB69-23CF-44E3-9099-C40C66FF867C}">
                    <a14:compatExt spid="_x0000_s21537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1538" name="Check Box 34" hidden="1">
                <a:extLst>
                  <a:ext uri="{63B3BB69-23CF-44E3-9099-C40C66FF867C}">
                    <a14:compatExt spid="_x0000_s21538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7C95F46B-0759-4ADF-999C-B9D625182D31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01536FF1-00A6-42AC-9C3C-85AAD53A7EB2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809778B1-604B-494B-A128-30D0BDFD4575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BF180FE5-49CB-48BB-8218-272AD9047F44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747C5B85-9353-460E-BCEA-5EFEE294A527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E7EA51-1E22-40CC-854E-C021F6530FA8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C1F1B83D-FE4D-4351-A07B-78103DAED170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E8D1B89F-2E03-4E3D-9555-1AB831A9FB0B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40207FE-4C6D-4155-B0FB-B641E663E53B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A3AEFCC7-40A2-4B8B-9CA1-EC16437145F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1539" name="Check Box 35" hidden="1">
                <a:extLst>
                  <a:ext uri="{63B3BB69-23CF-44E3-9099-C40C66FF867C}">
                    <a14:compatExt spid="_x0000_s21539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1540" name="Check Box 36" hidden="1">
                <a:extLst>
                  <a:ext uri="{63B3BB69-23CF-44E3-9099-C40C66FF867C}">
                    <a14:compatExt spid="_x0000_s21540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1541" name="Check Box 37" hidden="1">
                <a:extLst>
                  <a:ext uri="{63B3BB69-23CF-44E3-9099-C40C66FF867C}">
                    <a14:compatExt spid="_x0000_s21541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1542" name="Check Box 38" hidden="1">
                <a:extLst>
                  <a:ext uri="{63B3BB69-23CF-44E3-9099-C40C66FF867C}">
                    <a14:compatExt spid="_x0000_s21542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1543" name="Check Box 39" hidden="1">
                <a:extLst>
                  <a:ext uri="{63B3BB69-23CF-44E3-9099-C40C66FF867C}">
                    <a14:compatExt spid="_x0000_s21543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1544" name="Check Box 40" hidden="1">
                <a:extLst>
                  <a:ext uri="{63B3BB69-23CF-44E3-9099-C40C66FF867C}">
                    <a14:compatExt spid="_x0000_s21544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1545" name="Check Box 41" hidden="1">
                <a:extLst>
                  <a:ext uri="{63B3BB69-23CF-44E3-9099-C40C66FF867C}">
                    <a14:compatExt spid="_x0000_s21545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1546" name="Check Box 42" hidden="1">
                <a:extLst>
                  <a:ext uri="{63B3BB69-23CF-44E3-9099-C40C66FF867C}">
                    <a14:compatExt spid="_x0000_s21546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1547" name="Check Box 43" hidden="1">
                <a:extLst>
                  <a:ext uri="{63B3BB69-23CF-44E3-9099-C40C66FF867C}">
                    <a14:compatExt spid="_x0000_s21547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10992012-9B5A-44E0-90ED-2CCFF57B17D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1548" name="Check Box 44" hidden="1">
                <a:extLst>
                  <a:ext uri="{63B3BB69-23CF-44E3-9099-C40C66FF867C}">
                    <a14:compatExt spid="_x0000_s21548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1549" name="Check Box 45" hidden="1">
                <a:extLst>
                  <a:ext uri="{63B3BB69-23CF-44E3-9099-C40C66FF867C}">
                    <a14:compatExt spid="_x0000_s21549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1550" name="Check Box 46" descr="추락" hidden="1">
                <a:extLst>
                  <a:ext uri="{63B3BB69-23CF-44E3-9099-C40C66FF867C}">
                    <a14:compatExt spid="_x0000_s21550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1551" name="Check Box 47" hidden="1">
                <a:extLst>
                  <a:ext uri="{63B3BB69-23CF-44E3-9099-C40C66FF867C}">
                    <a14:compatExt spid="_x0000_s21551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1552" name="Check Box 48" hidden="1">
                <a:extLst>
                  <a:ext uri="{63B3BB69-23CF-44E3-9099-C40C66FF867C}">
                    <a14:compatExt spid="_x0000_s21552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1553" name="Check Box 49" hidden="1">
                <a:extLst>
                  <a:ext uri="{63B3BB69-23CF-44E3-9099-C40C66FF867C}">
                    <a14:compatExt spid="_x0000_s21553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1554" name="Check Box 50" hidden="1">
                <a:extLst>
                  <a:ext uri="{63B3BB69-23CF-44E3-9099-C40C66FF867C}">
                    <a14:compatExt spid="_x0000_s21554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1555" name="Check Box 51" hidden="1">
                <a:extLst>
                  <a:ext uri="{63B3BB69-23CF-44E3-9099-C40C66FF867C}">
                    <a14:compatExt spid="_x0000_s21555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1556" name="Check Box 52" hidden="1">
                <a:extLst>
                  <a:ext uri="{63B3BB69-23CF-44E3-9099-C40C66FF867C}">
                    <a14:compatExt spid="_x0000_s21556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37384CBB-EE94-4767-8F9C-327828ACBEF1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B514B3F3-7CD2-4887-A10B-862CE8FE758E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25933DC8-E102-40D9-AFBA-47E91069A36A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F70D28CE-A011-46A5-A3FF-2A4AFF46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4AE5F370-04EA-4F8C-8070-5E7E05A8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43828587-F218-4384-9D54-FAD9145F307F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14CF16B3-0F2C-4A93-946A-17199A9CC277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93226090-89A0-4964-8757-33A45239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11776267-941F-482B-8763-D9FAE846400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2529" name="Check Box 1" hidden="1">
                <a:extLst>
                  <a:ext uri="{63B3BB69-23CF-44E3-9099-C40C66FF867C}">
                    <a14:compatExt spid="_x0000_s22529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2530" name="Check Box 2" hidden="1">
                <a:extLst>
                  <a:ext uri="{63B3BB69-23CF-44E3-9099-C40C66FF867C}">
                    <a14:compatExt spid="_x0000_s22530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2531" name="Check Box 3" hidden="1">
                <a:extLst>
                  <a:ext uri="{63B3BB69-23CF-44E3-9099-C40C66FF867C}">
                    <a14:compatExt spid="_x0000_s22531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2532" name="Check Box 4" hidden="1">
                <a:extLst>
                  <a:ext uri="{63B3BB69-23CF-44E3-9099-C40C66FF867C}">
                    <a14:compatExt spid="_x0000_s22532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2533" name="Check Box 5" hidden="1">
                <a:extLst>
                  <a:ext uri="{63B3BB69-23CF-44E3-9099-C40C66FF867C}">
                    <a14:compatExt spid="_x0000_s22533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2534" name="Check Box 6" hidden="1">
                <a:extLst>
                  <a:ext uri="{63B3BB69-23CF-44E3-9099-C40C66FF867C}">
                    <a14:compatExt spid="_x0000_s22534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2535" name="Check Box 7" hidden="1">
                <a:extLst>
                  <a:ext uri="{63B3BB69-23CF-44E3-9099-C40C66FF867C}">
                    <a14:compatExt spid="_x0000_s22535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2536" name="Check Box 8" hidden="1">
                <a:extLst>
                  <a:ext uri="{63B3BB69-23CF-44E3-9099-C40C66FF867C}">
                    <a14:compatExt spid="_x0000_s22536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86C2E93D-61D4-44BE-B110-0F2A1D0D08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2537" name="Check Box 9" hidden="1">
                <a:extLst>
                  <a:ext uri="{63B3BB69-23CF-44E3-9099-C40C66FF867C}">
                    <a14:compatExt spid="_x0000_s22537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2538" name="Check Box 10" hidden="1">
                <a:extLst>
                  <a:ext uri="{63B3BB69-23CF-44E3-9099-C40C66FF867C}">
                    <a14:compatExt spid="_x0000_s22538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15B31E1C-A2A3-4DFF-AA02-A38587E3BF8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2539" name="Check Box 11" hidden="1">
                <a:extLst>
                  <a:ext uri="{63B3BB69-23CF-44E3-9099-C40C66FF867C}">
                    <a14:compatExt spid="_x0000_s22539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2540" name="Check Box 12" hidden="1">
                <a:extLst>
                  <a:ext uri="{63B3BB69-23CF-44E3-9099-C40C66FF867C}">
                    <a14:compatExt spid="_x0000_s22540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2541" name="Check Box 13" hidden="1">
                <a:extLst>
                  <a:ext uri="{63B3BB69-23CF-44E3-9099-C40C66FF867C}">
                    <a14:compatExt spid="_x0000_s22541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2542" name="Check Box 14" hidden="1">
                <a:extLst>
                  <a:ext uri="{63B3BB69-23CF-44E3-9099-C40C66FF867C}">
                    <a14:compatExt spid="_x0000_s22542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9C13A34-2049-42AB-8F71-AAA08454ABE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2543" name="Check Box 15" hidden="1">
                <a:extLst>
                  <a:ext uri="{63B3BB69-23CF-44E3-9099-C40C66FF867C}">
                    <a14:compatExt spid="_x0000_s22543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2544" name="Check Box 16" hidden="1">
                <a:extLst>
                  <a:ext uri="{63B3BB69-23CF-44E3-9099-C40C66FF867C}">
                    <a14:compatExt spid="_x0000_s22544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2545" name="Check Box 17" hidden="1">
                <a:extLst>
                  <a:ext uri="{63B3BB69-23CF-44E3-9099-C40C66FF867C}">
                    <a14:compatExt spid="_x0000_s22545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2546" name="Check Box 18" hidden="1">
                <a:extLst>
                  <a:ext uri="{63B3BB69-23CF-44E3-9099-C40C66FF867C}">
                    <a14:compatExt spid="_x0000_s22546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2547" name="Check Box 19" hidden="1">
                <a:extLst>
                  <a:ext uri="{63B3BB69-23CF-44E3-9099-C40C66FF867C}">
                    <a14:compatExt spid="_x0000_s22547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2548" name="Check Box 20" hidden="1">
                <a:extLst>
                  <a:ext uri="{63B3BB69-23CF-44E3-9099-C40C66FF867C}">
                    <a14:compatExt spid="_x0000_s22548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2549" name="Check Box 21" hidden="1">
                <a:extLst>
                  <a:ext uri="{63B3BB69-23CF-44E3-9099-C40C66FF867C}">
                    <a14:compatExt spid="_x0000_s22549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2550" name="Check Box 22" hidden="1">
                <a:extLst>
                  <a:ext uri="{63B3BB69-23CF-44E3-9099-C40C66FF867C}">
                    <a14:compatExt spid="_x0000_s22550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2551" name="Check Box 23" hidden="1">
                <a:extLst>
                  <a:ext uri="{63B3BB69-23CF-44E3-9099-C40C66FF867C}">
                    <a14:compatExt spid="_x0000_s22551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25B45621-84D7-4C97-A1C5-0671E883A86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2552" name="Check Box 24" hidden="1">
                <a:extLst>
                  <a:ext uri="{63B3BB69-23CF-44E3-9099-C40C66FF867C}">
                    <a14:compatExt spid="_x0000_s22552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2553" name="Check Box 25" hidden="1">
                <a:extLst>
                  <a:ext uri="{63B3BB69-23CF-44E3-9099-C40C66FF867C}">
                    <a14:compatExt spid="_x0000_s22553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C0AA05CE-E6F4-4B75-ABBB-98BA9EFDC94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2554" name="Check Box 26" hidden="1">
                <a:extLst>
                  <a:ext uri="{63B3BB69-23CF-44E3-9099-C40C66FF867C}">
                    <a14:compatExt spid="_x0000_s22554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2555" name="Check Box 27" hidden="1">
                <a:extLst>
                  <a:ext uri="{63B3BB69-23CF-44E3-9099-C40C66FF867C}">
                    <a14:compatExt spid="_x0000_s22555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2556" name="Check Box 28" hidden="1">
                <a:extLst>
                  <a:ext uri="{63B3BB69-23CF-44E3-9099-C40C66FF867C}">
                    <a14:compatExt spid="_x0000_s22556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2557" name="Check Box 29" hidden="1">
                <a:extLst>
                  <a:ext uri="{63B3BB69-23CF-44E3-9099-C40C66FF867C}">
                    <a14:compatExt spid="_x0000_s22557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2558" name="Check Box 30" hidden="1">
                <a:extLst>
                  <a:ext uri="{63B3BB69-23CF-44E3-9099-C40C66FF867C}">
                    <a14:compatExt spid="_x0000_s22558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2559" name="Check Box 31" hidden="1">
                <a:extLst>
                  <a:ext uri="{63B3BB69-23CF-44E3-9099-C40C66FF867C}">
                    <a14:compatExt spid="_x0000_s22559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2560" name="Check Box 32" hidden="1">
                <a:extLst>
                  <a:ext uri="{63B3BB69-23CF-44E3-9099-C40C66FF867C}">
                    <a14:compatExt spid="_x0000_s22560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2561" name="Check Box 33" hidden="1">
                <a:extLst>
                  <a:ext uri="{63B3BB69-23CF-44E3-9099-C40C66FF867C}">
                    <a14:compatExt spid="_x0000_s22561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2562" name="Check Box 34" hidden="1">
                <a:extLst>
                  <a:ext uri="{63B3BB69-23CF-44E3-9099-C40C66FF867C}">
                    <a14:compatExt spid="_x0000_s22562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8EE4FF8A-3BBD-4D7C-B364-FE3DFB5E6F22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C2D9AB15-717E-4C86-90C0-37D56B6FBA0D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63BEC7AC-042B-4AE4-B194-9AD844FB04F7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545BA6FC-FA41-49F7-A13C-02EF94E81CA9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C895213B-4AA2-4620-87AB-ECA4E16F3E13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C72D08-BCEE-48D3-901E-F937403865F8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EAFD30F2-AF3F-495C-BFAA-E6D6017B97E2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3AE4CB39-332C-40C5-B705-90121B79269C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FFDF46-571F-4F42-B4C1-A83B3C63FC1D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3FEAB729-63AA-4F0A-A50C-25A90BB894E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2563" name="Check Box 35" hidden="1">
                <a:extLst>
                  <a:ext uri="{63B3BB69-23CF-44E3-9099-C40C66FF867C}">
                    <a14:compatExt spid="_x0000_s22563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2564" name="Check Box 36" hidden="1">
                <a:extLst>
                  <a:ext uri="{63B3BB69-23CF-44E3-9099-C40C66FF867C}">
                    <a14:compatExt spid="_x0000_s22564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2565" name="Check Box 37" hidden="1">
                <a:extLst>
                  <a:ext uri="{63B3BB69-23CF-44E3-9099-C40C66FF867C}">
                    <a14:compatExt spid="_x0000_s22565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2566" name="Check Box 38" hidden="1">
                <a:extLst>
                  <a:ext uri="{63B3BB69-23CF-44E3-9099-C40C66FF867C}">
                    <a14:compatExt spid="_x0000_s22566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2567" name="Check Box 39" hidden="1">
                <a:extLst>
                  <a:ext uri="{63B3BB69-23CF-44E3-9099-C40C66FF867C}">
                    <a14:compatExt spid="_x0000_s22567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2568" name="Check Box 40" hidden="1">
                <a:extLst>
                  <a:ext uri="{63B3BB69-23CF-44E3-9099-C40C66FF867C}">
                    <a14:compatExt spid="_x0000_s22568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2569" name="Check Box 41" hidden="1">
                <a:extLst>
                  <a:ext uri="{63B3BB69-23CF-44E3-9099-C40C66FF867C}">
                    <a14:compatExt spid="_x0000_s22569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2570" name="Check Box 42" hidden="1">
                <a:extLst>
                  <a:ext uri="{63B3BB69-23CF-44E3-9099-C40C66FF867C}">
                    <a14:compatExt spid="_x0000_s22570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2571" name="Check Box 43" hidden="1">
                <a:extLst>
                  <a:ext uri="{63B3BB69-23CF-44E3-9099-C40C66FF867C}">
                    <a14:compatExt spid="_x0000_s22571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F3A841AF-5DA3-4584-93BD-3B70FC1F97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2572" name="Check Box 44" hidden="1">
                <a:extLst>
                  <a:ext uri="{63B3BB69-23CF-44E3-9099-C40C66FF867C}">
                    <a14:compatExt spid="_x0000_s22572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2573" name="Check Box 45" hidden="1">
                <a:extLst>
                  <a:ext uri="{63B3BB69-23CF-44E3-9099-C40C66FF867C}">
                    <a14:compatExt spid="_x0000_s22573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2574" name="Check Box 46" descr="추락" hidden="1">
                <a:extLst>
                  <a:ext uri="{63B3BB69-23CF-44E3-9099-C40C66FF867C}">
                    <a14:compatExt spid="_x0000_s22574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2575" name="Check Box 47" hidden="1">
                <a:extLst>
                  <a:ext uri="{63B3BB69-23CF-44E3-9099-C40C66FF867C}">
                    <a14:compatExt spid="_x0000_s22575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2576" name="Check Box 48" hidden="1">
                <a:extLst>
                  <a:ext uri="{63B3BB69-23CF-44E3-9099-C40C66FF867C}">
                    <a14:compatExt spid="_x0000_s22576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2577" name="Check Box 49" hidden="1">
                <a:extLst>
                  <a:ext uri="{63B3BB69-23CF-44E3-9099-C40C66FF867C}">
                    <a14:compatExt spid="_x0000_s22577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2578" name="Check Box 50" hidden="1">
                <a:extLst>
                  <a:ext uri="{63B3BB69-23CF-44E3-9099-C40C66FF867C}">
                    <a14:compatExt spid="_x0000_s22578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2579" name="Check Box 51" hidden="1">
                <a:extLst>
                  <a:ext uri="{63B3BB69-23CF-44E3-9099-C40C66FF867C}">
                    <a14:compatExt spid="_x0000_s22579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2580" name="Check Box 52" hidden="1">
                <a:extLst>
                  <a:ext uri="{63B3BB69-23CF-44E3-9099-C40C66FF867C}">
                    <a14:compatExt spid="_x0000_s22580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B6CEB39C-7723-4E62-A786-3DA3B5D9AE26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F46D668E-30C2-4A42-A78F-9DB4865E2BE2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FFDEE4C9-40E6-4001-82DC-1F75D03E1093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8F35555A-1F73-4646-ABCD-811F330D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45DE67F8-36D7-4AC1-9466-FC077BB4D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97D45959-2963-4449-9BEC-903D3105CE80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D719F68B-FA42-40F7-944A-B4D7137D31BE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A0CB6331-0C17-494C-9009-E6242010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BE76E371-BDED-4135-837A-8693164A26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3553" name="Check Box 1" hidden="1">
                <a:extLst>
                  <a:ext uri="{63B3BB69-23CF-44E3-9099-C40C66FF867C}">
                    <a14:compatExt spid="_x0000_s23553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3554" name="Check Box 2" hidden="1">
                <a:extLst>
                  <a:ext uri="{63B3BB69-23CF-44E3-9099-C40C66FF867C}">
                    <a14:compatExt spid="_x0000_s23554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3555" name="Check Box 3" hidden="1">
                <a:extLst>
                  <a:ext uri="{63B3BB69-23CF-44E3-9099-C40C66FF867C}">
                    <a14:compatExt spid="_x0000_s23555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3556" name="Check Box 4" hidden="1">
                <a:extLst>
                  <a:ext uri="{63B3BB69-23CF-44E3-9099-C40C66FF867C}">
                    <a14:compatExt spid="_x0000_s23556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3557" name="Check Box 5" hidden="1">
                <a:extLst>
                  <a:ext uri="{63B3BB69-23CF-44E3-9099-C40C66FF867C}">
                    <a14:compatExt spid="_x0000_s23557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3558" name="Check Box 6" hidden="1">
                <a:extLst>
                  <a:ext uri="{63B3BB69-23CF-44E3-9099-C40C66FF867C}">
                    <a14:compatExt spid="_x0000_s23558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3559" name="Check Box 7" hidden="1">
                <a:extLst>
                  <a:ext uri="{63B3BB69-23CF-44E3-9099-C40C66FF867C}">
                    <a14:compatExt spid="_x0000_s23559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3560" name="Check Box 8" hidden="1">
                <a:extLst>
                  <a:ext uri="{63B3BB69-23CF-44E3-9099-C40C66FF867C}">
                    <a14:compatExt spid="_x0000_s23560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1BEAEE69-AA62-4F6F-AE46-C281E302E4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3561" name="Check Box 9" hidden="1">
                <a:extLst>
                  <a:ext uri="{63B3BB69-23CF-44E3-9099-C40C66FF867C}">
                    <a14:compatExt spid="_x0000_s23561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3562" name="Check Box 10" hidden="1">
                <a:extLst>
                  <a:ext uri="{63B3BB69-23CF-44E3-9099-C40C66FF867C}">
                    <a14:compatExt spid="_x0000_s23562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3AC87E1F-106F-4E10-A971-CCC64C3A2E2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3563" name="Check Box 11" hidden="1">
                <a:extLst>
                  <a:ext uri="{63B3BB69-23CF-44E3-9099-C40C66FF867C}">
                    <a14:compatExt spid="_x0000_s23563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3564" name="Check Box 12" hidden="1">
                <a:extLst>
                  <a:ext uri="{63B3BB69-23CF-44E3-9099-C40C66FF867C}">
                    <a14:compatExt spid="_x0000_s23564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3565" name="Check Box 13" hidden="1">
                <a:extLst>
                  <a:ext uri="{63B3BB69-23CF-44E3-9099-C40C66FF867C}">
                    <a14:compatExt spid="_x0000_s23565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3566" name="Check Box 14" hidden="1">
                <a:extLst>
                  <a:ext uri="{63B3BB69-23CF-44E3-9099-C40C66FF867C}">
                    <a14:compatExt spid="_x0000_s23566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DE6E5018-BAB1-4B0A-8D1D-D5FC3BD715A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3567" name="Check Box 15" hidden="1">
                <a:extLst>
                  <a:ext uri="{63B3BB69-23CF-44E3-9099-C40C66FF867C}">
                    <a14:compatExt spid="_x0000_s23567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3568" name="Check Box 16" hidden="1">
                <a:extLst>
                  <a:ext uri="{63B3BB69-23CF-44E3-9099-C40C66FF867C}">
                    <a14:compatExt spid="_x0000_s23568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3569" name="Check Box 17" hidden="1">
                <a:extLst>
                  <a:ext uri="{63B3BB69-23CF-44E3-9099-C40C66FF867C}">
                    <a14:compatExt spid="_x0000_s23569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3570" name="Check Box 18" hidden="1">
                <a:extLst>
                  <a:ext uri="{63B3BB69-23CF-44E3-9099-C40C66FF867C}">
                    <a14:compatExt spid="_x0000_s23570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3571" name="Check Box 19" hidden="1">
                <a:extLst>
                  <a:ext uri="{63B3BB69-23CF-44E3-9099-C40C66FF867C}">
                    <a14:compatExt spid="_x0000_s23571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3572" name="Check Box 20" hidden="1">
                <a:extLst>
                  <a:ext uri="{63B3BB69-23CF-44E3-9099-C40C66FF867C}">
                    <a14:compatExt spid="_x0000_s23572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3573" name="Check Box 21" hidden="1">
                <a:extLst>
                  <a:ext uri="{63B3BB69-23CF-44E3-9099-C40C66FF867C}">
                    <a14:compatExt spid="_x0000_s23573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3574" name="Check Box 22" hidden="1">
                <a:extLst>
                  <a:ext uri="{63B3BB69-23CF-44E3-9099-C40C66FF867C}">
                    <a14:compatExt spid="_x0000_s23574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3575" name="Check Box 23" hidden="1">
                <a:extLst>
                  <a:ext uri="{63B3BB69-23CF-44E3-9099-C40C66FF867C}">
                    <a14:compatExt spid="_x0000_s23575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3B16B708-5912-45B1-AD2F-BDB4CD01C8F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3576" name="Check Box 24" hidden="1">
                <a:extLst>
                  <a:ext uri="{63B3BB69-23CF-44E3-9099-C40C66FF867C}">
                    <a14:compatExt spid="_x0000_s23576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3577" name="Check Box 25" hidden="1">
                <a:extLst>
                  <a:ext uri="{63B3BB69-23CF-44E3-9099-C40C66FF867C}">
                    <a14:compatExt spid="_x0000_s23577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0A32CED5-C271-41C9-8539-80EB375279B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3578" name="Check Box 26" hidden="1">
                <a:extLst>
                  <a:ext uri="{63B3BB69-23CF-44E3-9099-C40C66FF867C}">
                    <a14:compatExt spid="_x0000_s23578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3579" name="Check Box 27" hidden="1">
                <a:extLst>
                  <a:ext uri="{63B3BB69-23CF-44E3-9099-C40C66FF867C}">
                    <a14:compatExt spid="_x0000_s23579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3580" name="Check Box 28" hidden="1">
                <a:extLst>
                  <a:ext uri="{63B3BB69-23CF-44E3-9099-C40C66FF867C}">
                    <a14:compatExt spid="_x0000_s23580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3581" name="Check Box 29" hidden="1">
                <a:extLst>
                  <a:ext uri="{63B3BB69-23CF-44E3-9099-C40C66FF867C}">
                    <a14:compatExt spid="_x0000_s23581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3582" name="Check Box 30" hidden="1">
                <a:extLst>
                  <a:ext uri="{63B3BB69-23CF-44E3-9099-C40C66FF867C}">
                    <a14:compatExt spid="_x0000_s23582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3583" name="Check Box 31" hidden="1">
                <a:extLst>
                  <a:ext uri="{63B3BB69-23CF-44E3-9099-C40C66FF867C}">
                    <a14:compatExt spid="_x0000_s23583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3584" name="Check Box 32" hidden="1">
                <a:extLst>
                  <a:ext uri="{63B3BB69-23CF-44E3-9099-C40C66FF867C}">
                    <a14:compatExt spid="_x0000_s23584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3585" name="Check Box 33" hidden="1">
                <a:extLst>
                  <a:ext uri="{63B3BB69-23CF-44E3-9099-C40C66FF867C}">
                    <a14:compatExt spid="_x0000_s23585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3586" name="Check Box 34" hidden="1">
                <a:extLst>
                  <a:ext uri="{63B3BB69-23CF-44E3-9099-C40C66FF867C}">
                    <a14:compatExt spid="_x0000_s23586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16480D74-A86F-42B5-A304-5DAF16B2D81F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ADD7F387-454D-4395-B7BB-9F918E7BFFAD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50302E6D-B19C-4F75-9206-761AC0079CDC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AC438224-86E2-48E0-BD2E-94A07E8C3F69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C79AFBCD-E687-459A-81CD-822D620566D6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6046EAF-4950-4D11-9859-1C6217D5CCE8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AD01EDA3-D100-42A5-B2E1-84AFD20B298F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05BFC2C0-38B7-479D-BC00-0D8E1974D07E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7CA1F7C-98E8-416F-B4D5-1305C6C63908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39B9EF3F-E80C-4D22-AE37-17C445BD3A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3587" name="Check Box 35" hidden="1">
                <a:extLst>
                  <a:ext uri="{63B3BB69-23CF-44E3-9099-C40C66FF867C}">
                    <a14:compatExt spid="_x0000_s23587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3588" name="Check Box 36" hidden="1">
                <a:extLst>
                  <a:ext uri="{63B3BB69-23CF-44E3-9099-C40C66FF867C}">
                    <a14:compatExt spid="_x0000_s23588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3589" name="Check Box 37" hidden="1">
                <a:extLst>
                  <a:ext uri="{63B3BB69-23CF-44E3-9099-C40C66FF867C}">
                    <a14:compatExt spid="_x0000_s23589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3590" name="Check Box 38" hidden="1">
                <a:extLst>
                  <a:ext uri="{63B3BB69-23CF-44E3-9099-C40C66FF867C}">
                    <a14:compatExt spid="_x0000_s23590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3591" name="Check Box 39" hidden="1">
                <a:extLst>
                  <a:ext uri="{63B3BB69-23CF-44E3-9099-C40C66FF867C}">
                    <a14:compatExt spid="_x0000_s23591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3592" name="Check Box 40" hidden="1">
                <a:extLst>
                  <a:ext uri="{63B3BB69-23CF-44E3-9099-C40C66FF867C}">
                    <a14:compatExt spid="_x0000_s23592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3593" name="Check Box 41" hidden="1">
                <a:extLst>
                  <a:ext uri="{63B3BB69-23CF-44E3-9099-C40C66FF867C}">
                    <a14:compatExt spid="_x0000_s23593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3594" name="Check Box 42" hidden="1">
                <a:extLst>
                  <a:ext uri="{63B3BB69-23CF-44E3-9099-C40C66FF867C}">
                    <a14:compatExt spid="_x0000_s23594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3595" name="Check Box 43" hidden="1">
                <a:extLst>
                  <a:ext uri="{63B3BB69-23CF-44E3-9099-C40C66FF867C}">
                    <a14:compatExt spid="_x0000_s23595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192005E9-9352-4905-AB26-7688272D15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3596" name="Check Box 44" hidden="1">
                <a:extLst>
                  <a:ext uri="{63B3BB69-23CF-44E3-9099-C40C66FF867C}">
                    <a14:compatExt spid="_x0000_s23596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3597" name="Check Box 45" hidden="1">
                <a:extLst>
                  <a:ext uri="{63B3BB69-23CF-44E3-9099-C40C66FF867C}">
                    <a14:compatExt spid="_x0000_s23597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3598" name="Check Box 46" descr="추락" hidden="1">
                <a:extLst>
                  <a:ext uri="{63B3BB69-23CF-44E3-9099-C40C66FF867C}">
                    <a14:compatExt spid="_x0000_s23598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3599" name="Check Box 47" hidden="1">
                <a:extLst>
                  <a:ext uri="{63B3BB69-23CF-44E3-9099-C40C66FF867C}">
                    <a14:compatExt spid="_x0000_s23599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3600" name="Check Box 48" hidden="1">
                <a:extLst>
                  <a:ext uri="{63B3BB69-23CF-44E3-9099-C40C66FF867C}">
                    <a14:compatExt spid="_x0000_s23600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3601" name="Check Box 49" hidden="1">
                <a:extLst>
                  <a:ext uri="{63B3BB69-23CF-44E3-9099-C40C66FF867C}">
                    <a14:compatExt spid="_x0000_s23601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3602" name="Check Box 50" hidden="1">
                <a:extLst>
                  <a:ext uri="{63B3BB69-23CF-44E3-9099-C40C66FF867C}">
                    <a14:compatExt spid="_x0000_s23602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3603" name="Check Box 51" hidden="1">
                <a:extLst>
                  <a:ext uri="{63B3BB69-23CF-44E3-9099-C40C66FF867C}">
                    <a14:compatExt spid="_x0000_s23603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3604" name="Check Box 52" hidden="1">
                <a:extLst>
                  <a:ext uri="{63B3BB69-23CF-44E3-9099-C40C66FF867C}">
                    <a14:compatExt spid="_x0000_s23604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F4263ABB-D936-460D-AD1F-D5280884BF45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C3EC9015-9032-4E8F-8238-69C20CB8708A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31CDE260-8917-4551-9C1C-9D53207F9E8F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2F5351BB-5857-4575-A9E9-9D8F9D7C4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5E13A41B-1B79-441A-9312-5A459FDE5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A6F52539-DDD3-47F4-938F-5E1A68455D06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7AFB2CD8-1FDA-4389-B481-AFDA54F3AA0D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B2333EFB-765D-4507-A64A-40F8E38A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44F5EAD6-5798-4A6A-9927-EDBB35AD49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4577" name="Check Box 1" hidden="1">
                <a:extLst>
                  <a:ext uri="{63B3BB69-23CF-44E3-9099-C40C66FF867C}">
                    <a14:compatExt spid="_x0000_s24577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4578" name="Check Box 2" hidden="1">
                <a:extLst>
                  <a:ext uri="{63B3BB69-23CF-44E3-9099-C40C66FF867C}">
                    <a14:compatExt spid="_x0000_s24578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4579" name="Check Box 3" hidden="1">
                <a:extLst>
                  <a:ext uri="{63B3BB69-23CF-44E3-9099-C40C66FF867C}">
                    <a14:compatExt spid="_x0000_s24579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4580" name="Check Box 4" hidden="1">
                <a:extLst>
                  <a:ext uri="{63B3BB69-23CF-44E3-9099-C40C66FF867C}">
                    <a14:compatExt spid="_x0000_s24580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4581" name="Check Box 5" hidden="1">
                <a:extLst>
                  <a:ext uri="{63B3BB69-23CF-44E3-9099-C40C66FF867C}">
                    <a14:compatExt spid="_x0000_s24581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4582" name="Check Box 6" hidden="1">
                <a:extLst>
                  <a:ext uri="{63B3BB69-23CF-44E3-9099-C40C66FF867C}">
                    <a14:compatExt spid="_x0000_s24582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4583" name="Check Box 7" hidden="1">
                <a:extLst>
                  <a:ext uri="{63B3BB69-23CF-44E3-9099-C40C66FF867C}">
                    <a14:compatExt spid="_x0000_s24583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4584" name="Check Box 8" hidden="1">
                <a:extLst>
                  <a:ext uri="{63B3BB69-23CF-44E3-9099-C40C66FF867C}">
                    <a14:compatExt spid="_x0000_s24584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D3D24D5C-9E17-4904-A14E-095201E7C4F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4585" name="Check Box 9" hidden="1">
                <a:extLst>
                  <a:ext uri="{63B3BB69-23CF-44E3-9099-C40C66FF867C}">
                    <a14:compatExt spid="_x0000_s24585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4586" name="Check Box 10" hidden="1">
                <a:extLst>
                  <a:ext uri="{63B3BB69-23CF-44E3-9099-C40C66FF867C}">
                    <a14:compatExt spid="_x0000_s24586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D43D8338-C010-489C-9A68-1A4AF99DE7D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4587" name="Check Box 11" hidden="1">
                <a:extLst>
                  <a:ext uri="{63B3BB69-23CF-44E3-9099-C40C66FF867C}">
                    <a14:compatExt spid="_x0000_s24587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4588" name="Check Box 12" hidden="1">
                <a:extLst>
                  <a:ext uri="{63B3BB69-23CF-44E3-9099-C40C66FF867C}">
                    <a14:compatExt spid="_x0000_s24588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4589" name="Check Box 13" hidden="1">
                <a:extLst>
                  <a:ext uri="{63B3BB69-23CF-44E3-9099-C40C66FF867C}">
                    <a14:compatExt spid="_x0000_s24589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4590" name="Check Box 14" hidden="1">
                <a:extLst>
                  <a:ext uri="{63B3BB69-23CF-44E3-9099-C40C66FF867C}">
                    <a14:compatExt spid="_x0000_s24590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F0F7E398-73C6-4CC5-AC29-01965E7513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4591" name="Check Box 15" hidden="1">
                <a:extLst>
                  <a:ext uri="{63B3BB69-23CF-44E3-9099-C40C66FF867C}">
                    <a14:compatExt spid="_x0000_s24591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4592" name="Check Box 16" hidden="1">
                <a:extLst>
                  <a:ext uri="{63B3BB69-23CF-44E3-9099-C40C66FF867C}">
                    <a14:compatExt spid="_x0000_s24592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4593" name="Check Box 17" hidden="1">
                <a:extLst>
                  <a:ext uri="{63B3BB69-23CF-44E3-9099-C40C66FF867C}">
                    <a14:compatExt spid="_x0000_s24593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4594" name="Check Box 18" hidden="1">
                <a:extLst>
                  <a:ext uri="{63B3BB69-23CF-44E3-9099-C40C66FF867C}">
                    <a14:compatExt spid="_x0000_s24594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4595" name="Check Box 19" hidden="1">
                <a:extLst>
                  <a:ext uri="{63B3BB69-23CF-44E3-9099-C40C66FF867C}">
                    <a14:compatExt spid="_x0000_s24595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4596" name="Check Box 20" hidden="1">
                <a:extLst>
                  <a:ext uri="{63B3BB69-23CF-44E3-9099-C40C66FF867C}">
                    <a14:compatExt spid="_x0000_s24596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4597" name="Check Box 21" hidden="1">
                <a:extLst>
                  <a:ext uri="{63B3BB69-23CF-44E3-9099-C40C66FF867C}">
                    <a14:compatExt spid="_x0000_s24597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4598" name="Check Box 22" hidden="1">
                <a:extLst>
                  <a:ext uri="{63B3BB69-23CF-44E3-9099-C40C66FF867C}">
                    <a14:compatExt spid="_x0000_s24598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4599" name="Check Box 23" hidden="1">
                <a:extLst>
                  <a:ext uri="{63B3BB69-23CF-44E3-9099-C40C66FF867C}">
                    <a14:compatExt spid="_x0000_s24599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5500AF5C-E82B-4B6D-BD4F-774D02E28F5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4600" name="Check Box 24" hidden="1">
                <a:extLst>
                  <a:ext uri="{63B3BB69-23CF-44E3-9099-C40C66FF867C}">
                    <a14:compatExt spid="_x0000_s24600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4601" name="Check Box 25" hidden="1">
                <a:extLst>
                  <a:ext uri="{63B3BB69-23CF-44E3-9099-C40C66FF867C}">
                    <a14:compatExt spid="_x0000_s24601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DBC132E4-947E-4717-BF2B-9D21AF3E68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4602" name="Check Box 26" hidden="1">
                <a:extLst>
                  <a:ext uri="{63B3BB69-23CF-44E3-9099-C40C66FF867C}">
                    <a14:compatExt spid="_x0000_s24602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4603" name="Check Box 27" hidden="1">
                <a:extLst>
                  <a:ext uri="{63B3BB69-23CF-44E3-9099-C40C66FF867C}">
                    <a14:compatExt spid="_x0000_s24603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4604" name="Check Box 28" hidden="1">
                <a:extLst>
                  <a:ext uri="{63B3BB69-23CF-44E3-9099-C40C66FF867C}">
                    <a14:compatExt spid="_x0000_s24604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4605" name="Check Box 29" hidden="1">
                <a:extLst>
                  <a:ext uri="{63B3BB69-23CF-44E3-9099-C40C66FF867C}">
                    <a14:compatExt spid="_x0000_s24605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4606" name="Check Box 30" hidden="1">
                <a:extLst>
                  <a:ext uri="{63B3BB69-23CF-44E3-9099-C40C66FF867C}">
                    <a14:compatExt spid="_x0000_s24606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4607" name="Check Box 31" hidden="1">
                <a:extLst>
                  <a:ext uri="{63B3BB69-23CF-44E3-9099-C40C66FF867C}">
                    <a14:compatExt spid="_x0000_s24607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4608" name="Check Box 32" hidden="1">
                <a:extLst>
                  <a:ext uri="{63B3BB69-23CF-44E3-9099-C40C66FF867C}">
                    <a14:compatExt spid="_x0000_s24608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4609" name="Check Box 33" hidden="1">
                <a:extLst>
                  <a:ext uri="{63B3BB69-23CF-44E3-9099-C40C66FF867C}">
                    <a14:compatExt spid="_x0000_s24609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4610" name="Check Box 34" hidden="1">
                <a:extLst>
                  <a:ext uri="{63B3BB69-23CF-44E3-9099-C40C66FF867C}">
                    <a14:compatExt spid="_x0000_s24610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AB4F0BDF-A4CD-400A-A06C-844D6DFFD579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B5A0612A-D443-467F-AD3E-42DB10A93257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AF8C08FD-D7FE-4209-8041-E386B5E78FAB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47C383A1-FFF2-45A5-B73F-588A254D0DDA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6C88FB1B-738F-4273-969F-9DA153520EB7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1656B07-B1D3-4869-8A92-6C6DD1F24AF4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D770B16F-C3B2-44CF-B89D-D5C8836366A7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D20E5632-09DB-4DAE-8977-F84AEB510616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BEEE71-02FB-45D8-BF5A-B72CCA53A7A5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9B022552-19EE-44D9-AD19-9F86E680B77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4611" name="Check Box 35" hidden="1">
                <a:extLst>
                  <a:ext uri="{63B3BB69-23CF-44E3-9099-C40C66FF867C}">
                    <a14:compatExt spid="_x0000_s24611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4612" name="Check Box 36" hidden="1">
                <a:extLst>
                  <a:ext uri="{63B3BB69-23CF-44E3-9099-C40C66FF867C}">
                    <a14:compatExt spid="_x0000_s24612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4613" name="Check Box 37" hidden="1">
                <a:extLst>
                  <a:ext uri="{63B3BB69-23CF-44E3-9099-C40C66FF867C}">
                    <a14:compatExt spid="_x0000_s24613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4614" name="Check Box 38" hidden="1">
                <a:extLst>
                  <a:ext uri="{63B3BB69-23CF-44E3-9099-C40C66FF867C}">
                    <a14:compatExt spid="_x0000_s24614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4615" name="Check Box 39" hidden="1">
                <a:extLst>
                  <a:ext uri="{63B3BB69-23CF-44E3-9099-C40C66FF867C}">
                    <a14:compatExt spid="_x0000_s24615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4616" name="Check Box 40" hidden="1">
                <a:extLst>
                  <a:ext uri="{63B3BB69-23CF-44E3-9099-C40C66FF867C}">
                    <a14:compatExt spid="_x0000_s24616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4617" name="Check Box 41" hidden="1">
                <a:extLst>
                  <a:ext uri="{63B3BB69-23CF-44E3-9099-C40C66FF867C}">
                    <a14:compatExt spid="_x0000_s24617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4618" name="Check Box 42" hidden="1">
                <a:extLst>
                  <a:ext uri="{63B3BB69-23CF-44E3-9099-C40C66FF867C}">
                    <a14:compatExt spid="_x0000_s24618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4619" name="Check Box 43" hidden="1">
                <a:extLst>
                  <a:ext uri="{63B3BB69-23CF-44E3-9099-C40C66FF867C}">
                    <a14:compatExt spid="_x0000_s24619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B1C862C0-7008-43A0-8353-33B533457CB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4620" name="Check Box 44" hidden="1">
                <a:extLst>
                  <a:ext uri="{63B3BB69-23CF-44E3-9099-C40C66FF867C}">
                    <a14:compatExt spid="_x0000_s24620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4621" name="Check Box 45" hidden="1">
                <a:extLst>
                  <a:ext uri="{63B3BB69-23CF-44E3-9099-C40C66FF867C}">
                    <a14:compatExt spid="_x0000_s24621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4622" name="Check Box 46" descr="추락" hidden="1">
                <a:extLst>
                  <a:ext uri="{63B3BB69-23CF-44E3-9099-C40C66FF867C}">
                    <a14:compatExt spid="_x0000_s24622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4623" name="Check Box 47" hidden="1">
                <a:extLst>
                  <a:ext uri="{63B3BB69-23CF-44E3-9099-C40C66FF867C}">
                    <a14:compatExt spid="_x0000_s24623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4624" name="Check Box 48" hidden="1">
                <a:extLst>
                  <a:ext uri="{63B3BB69-23CF-44E3-9099-C40C66FF867C}">
                    <a14:compatExt spid="_x0000_s24624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4625" name="Check Box 49" hidden="1">
                <a:extLst>
                  <a:ext uri="{63B3BB69-23CF-44E3-9099-C40C66FF867C}">
                    <a14:compatExt spid="_x0000_s24625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4626" name="Check Box 50" hidden="1">
                <a:extLst>
                  <a:ext uri="{63B3BB69-23CF-44E3-9099-C40C66FF867C}">
                    <a14:compatExt spid="_x0000_s24626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4627" name="Check Box 51" hidden="1">
                <a:extLst>
                  <a:ext uri="{63B3BB69-23CF-44E3-9099-C40C66FF867C}">
                    <a14:compatExt spid="_x0000_s24627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4628" name="Check Box 52" hidden="1">
                <a:extLst>
                  <a:ext uri="{63B3BB69-23CF-44E3-9099-C40C66FF867C}">
                    <a14:compatExt spid="_x0000_s24628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429D31B2-A9AF-40AD-9B88-09856EC406A4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7A89A1DE-8163-491C-960B-2423CB3D2C6B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6CDAE4DA-5D11-49A8-815A-A8E906EB9DC5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33B1EB37-944B-4179-82D5-D49A289B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F9EF8D81-7C45-49BA-903B-FB45524C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4263BAEC-F146-4872-9FB5-120435224C2F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E5EC421C-4051-47AE-AC82-9AD3E680AF49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A6EF8BE7-5D5E-42AE-9E03-6D17D392E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1357CA3A-DE0F-4CC7-A050-29720D132A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5601" name="Check Box 1" hidden="1">
                <a:extLst>
                  <a:ext uri="{63B3BB69-23CF-44E3-9099-C40C66FF867C}">
                    <a14:compatExt spid="_x0000_s25601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5602" name="Check Box 2" hidden="1">
                <a:extLst>
                  <a:ext uri="{63B3BB69-23CF-44E3-9099-C40C66FF867C}">
                    <a14:compatExt spid="_x0000_s25602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5603" name="Check Box 3" hidden="1">
                <a:extLst>
                  <a:ext uri="{63B3BB69-23CF-44E3-9099-C40C66FF867C}">
                    <a14:compatExt spid="_x0000_s25603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5604" name="Check Box 4" hidden="1">
                <a:extLst>
                  <a:ext uri="{63B3BB69-23CF-44E3-9099-C40C66FF867C}">
                    <a14:compatExt spid="_x0000_s25604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5605" name="Check Box 5" hidden="1">
                <a:extLst>
                  <a:ext uri="{63B3BB69-23CF-44E3-9099-C40C66FF867C}">
                    <a14:compatExt spid="_x0000_s25605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5606" name="Check Box 6" hidden="1">
                <a:extLst>
                  <a:ext uri="{63B3BB69-23CF-44E3-9099-C40C66FF867C}">
                    <a14:compatExt spid="_x0000_s25606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5607" name="Check Box 7" hidden="1">
                <a:extLst>
                  <a:ext uri="{63B3BB69-23CF-44E3-9099-C40C66FF867C}">
                    <a14:compatExt spid="_x0000_s25607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5608" name="Check Box 8" hidden="1">
                <a:extLst>
                  <a:ext uri="{63B3BB69-23CF-44E3-9099-C40C66FF867C}">
                    <a14:compatExt spid="_x0000_s25608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88FE7D1E-FD35-404F-888E-2EE82F4B928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5609" name="Check Box 9" hidden="1">
                <a:extLst>
                  <a:ext uri="{63B3BB69-23CF-44E3-9099-C40C66FF867C}">
                    <a14:compatExt spid="_x0000_s25609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5610" name="Check Box 10" hidden="1">
                <a:extLst>
                  <a:ext uri="{63B3BB69-23CF-44E3-9099-C40C66FF867C}">
                    <a14:compatExt spid="_x0000_s25610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18239F7A-1748-4D3C-BB57-528BBDAAF57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5611" name="Check Box 11" hidden="1">
                <a:extLst>
                  <a:ext uri="{63B3BB69-23CF-44E3-9099-C40C66FF867C}">
                    <a14:compatExt spid="_x0000_s25611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5612" name="Check Box 12" hidden="1">
                <a:extLst>
                  <a:ext uri="{63B3BB69-23CF-44E3-9099-C40C66FF867C}">
                    <a14:compatExt spid="_x0000_s25612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5613" name="Check Box 13" hidden="1">
                <a:extLst>
                  <a:ext uri="{63B3BB69-23CF-44E3-9099-C40C66FF867C}">
                    <a14:compatExt spid="_x0000_s25613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5614" name="Check Box 14" hidden="1">
                <a:extLst>
                  <a:ext uri="{63B3BB69-23CF-44E3-9099-C40C66FF867C}">
                    <a14:compatExt spid="_x0000_s25614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4B81565B-6628-48EF-8EE6-34226083DE3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5615" name="Check Box 15" hidden="1">
                <a:extLst>
                  <a:ext uri="{63B3BB69-23CF-44E3-9099-C40C66FF867C}">
                    <a14:compatExt spid="_x0000_s25615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5616" name="Check Box 16" hidden="1">
                <a:extLst>
                  <a:ext uri="{63B3BB69-23CF-44E3-9099-C40C66FF867C}">
                    <a14:compatExt spid="_x0000_s25616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5617" name="Check Box 17" hidden="1">
                <a:extLst>
                  <a:ext uri="{63B3BB69-23CF-44E3-9099-C40C66FF867C}">
                    <a14:compatExt spid="_x0000_s25617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5618" name="Check Box 18" hidden="1">
                <a:extLst>
                  <a:ext uri="{63B3BB69-23CF-44E3-9099-C40C66FF867C}">
                    <a14:compatExt spid="_x0000_s25618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5619" name="Check Box 19" hidden="1">
                <a:extLst>
                  <a:ext uri="{63B3BB69-23CF-44E3-9099-C40C66FF867C}">
                    <a14:compatExt spid="_x0000_s25619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5620" name="Check Box 20" hidden="1">
                <a:extLst>
                  <a:ext uri="{63B3BB69-23CF-44E3-9099-C40C66FF867C}">
                    <a14:compatExt spid="_x0000_s25620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5621" name="Check Box 21" hidden="1">
                <a:extLst>
                  <a:ext uri="{63B3BB69-23CF-44E3-9099-C40C66FF867C}">
                    <a14:compatExt spid="_x0000_s25621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5622" name="Check Box 22" hidden="1">
                <a:extLst>
                  <a:ext uri="{63B3BB69-23CF-44E3-9099-C40C66FF867C}">
                    <a14:compatExt spid="_x0000_s25622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5623" name="Check Box 23" hidden="1">
                <a:extLst>
                  <a:ext uri="{63B3BB69-23CF-44E3-9099-C40C66FF867C}">
                    <a14:compatExt spid="_x0000_s25623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3F0A4AAA-6083-498D-A1D4-729D6509C5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5624" name="Check Box 24" hidden="1">
                <a:extLst>
                  <a:ext uri="{63B3BB69-23CF-44E3-9099-C40C66FF867C}">
                    <a14:compatExt spid="_x0000_s25624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5625" name="Check Box 25" hidden="1">
                <a:extLst>
                  <a:ext uri="{63B3BB69-23CF-44E3-9099-C40C66FF867C}">
                    <a14:compatExt spid="_x0000_s25625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586C9410-4FF1-49DA-B09E-797AF3FDBF7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5626" name="Check Box 26" hidden="1">
                <a:extLst>
                  <a:ext uri="{63B3BB69-23CF-44E3-9099-C40C66FF867C}">
                    <a14:compatExt spid="_x0000_s25626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5627" name="Check Box 27" hidden="1">
                <a:extLst>
                  <a:ext uri="{63B3BB69-23CF-44E3-9099-C40C66FF867C}">
                    <a14:compatExt spid="_x0000_s25627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5628" name="Check Box 28" hidden="1">
                <a:extLst>
                  <a:ext uri="{63B3BB69-23CF-44E3-9099-C40C66FF867C}">
                    <a14:compatExt spid="_x0000_s25628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5629" name="Check Box 29" hidden="1">
                <a:extLst>
                  <a:ext uri="{63B3BB69-23CF-44E3-9099-C40C66FF867C}">
                    <a14:compatExt spid="_x0000_s25629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5630" name="Check Box 30" hidden="1">
                <a:extLst>
                  <a:ext uri="{63B3BB69-23CF-44E3-9099-C40C66FF867C}">
                    <a14:compatExt spid="_x0000_s25630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5631" name="Check Box 31" hidden="1">
                <a:extLst>
                  <a:ext uri="{63B3BB69-23CF-44E3-9099-C40C66FF867C}">
                    <a14:compatExt spid="_x0000_s25631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5632" name="Check Box 32" hidden="1">
                <a:extLst>
                  <a:ext uri="{63B3BB69-23CF-44E3-9099-C40C66FF867C}">
                    <a14:compatExt spid="_x0000_s25632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5633" name="Check Box 33" hidden="1">
                <a:extLst>
                  <a:ext uri="{63B3BB69-23CF-44E3-9099-C40C66FF867C}">
                    <a14:compatExt spid="_x0000_s25633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5634" name="Check Box 34" hidden="1">
                <a:extLst>
                  <a:ext uri="{63B3BB69-23CF-44E3-9099-C40C66FF867C}">
                    <a14:compatExt spid="_x0000_s25634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BB0F48F0-A681-4880-82DD-6D1D2ACA5048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95FB158A-01C7-4EF0-9F7C-EAB190015977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C788D8DA-C371-487D-BEEA-F79D48747F43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4E98C4EE-4FAD-4FA1-A321-B60350084118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34A70033-F90C-4BA0-8D36-812117DA020A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ED70AA-76A5-4775-834C-1E2CDD63242C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C5EC0FFC-B928-427F-9D39-8CC08BCB9CD6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91D901FE-202E-4ED3-9170-04810504E3E7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68DF2BE-86FC-4DEE-8DC6-E2A50264DA15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4D666B37-B8EE-4785-B09C-C92343F4919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5635" name="Check Box 35" hidden="1">
                <a:extLst>
                  <a:ext uri="{63B3BB69-23CF-44E3-9099-C40C66FF867C}">
                    <a14:compatExt spid="_x0000_s25635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5636" name="Check Box 36" hidden="1">
                <a:extLst>
                  <a:ext uri="{63B3BB69-23CF-44E3-9099-C40C66FF867C}">
                    <a14:compatExt spid="_x0000_s25636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5637" name="Check Box 37" hidden="1">
                <a:extLst>
                  <a:ext uri="{63B3BB69-23CF-44E3-9099-C40C66FF867C}">
                    <a14:compatExt spid="_x0000_s25637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5638" name="Check Box 38" hidden="1">
                <a:extLst>
                  <a:ext uri="{63B3BB69-23CF-44E3-9099-C40C66FF867C}">
                    <a14:compatExt spid="_x0000_s25638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5639" name="Check Box 39" hidden="1">
                <a:extLst>
                  <a:ext uri="{63B3BB69-23CF-44E3-9099-C40C66FF867C}">
                    <a14:compatExt spid="_x0000_s25639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5640" name="Check Box 40" hidden="1">
                <a:extLst>
                  <a:ext uri="{63B3BB69-23CF-44E3-9099-C40C66FF867C}">
                    <a14:compatExt spid="_x0000_s25640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5641" name="Check Box 41" hidden="1">
                <a:extLst>
                  <a:ext uri="{63B3BB69-23CF-44E3-9099-C40C66FF867C}">
                    <a14:compatExt spid="_x0000_s25641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5642" name="Check Box 42" hidden="1">
                <a:extLst>
                  <a:ext uri="{63B3BB69-23CF-44E3-9099-C40C66FF867C}">
                    <a14:compatExt spid="_x0000_s25642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5643" name="Check Box 43" hidden="1">
                <a:extLst>
                  <a:ext uri="{63B3BB69-23CF-44E3-9099-C40C66FF867C}">
                    <a14:compatExt spid="_x0000_s25643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B2C83985-A7CC-4F81-98D0-AB56FE64CCB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5644" name="Check Box 44" hidden="1">
                <a:extLst>
                  <a:ext uri="{63B3BB69-23CF-44E3-9099-C40C66FF867C}">
                    <a14:compatExt spid="_x0000_s25644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5645" name="Check Box 45" hidden="1">
                <a:extLst>
                  <a:ext uri="{63B3BB69-23CF-44E3-9099-C40C66FF867C}">
                    <a14:compatExt spid="_x0000_s25645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5646" name="Check Box 46" descr="추락" hidden="1">
                <a:extLst>
                  <a:ext uri="{63B3BB69-23CF-44E3-9099-C40C66FF867C}">
                    <a14:compatExt spid="_x0000_s25646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5647" name="Check Box 47" hidden="1">
                <a:extLst>
                  <a:ext uri="{63B3BB69-23CF-44E3-9099-C40C66FF867C}">
                    <a14:compatExt spid="_x0000_s25647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5648" name="Check Box 48" hidden="1">
                <a:extLst>
                  <a:ext uri="{63B3BB69-23CF-44E3-9099-C40C66FF867C}">
                    <a14:compatExt spid="_x0000_s25648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5649" name="Check Box 49" hidden="1">
                <a:extLst>
                  <a:ext uri="{63B3BB69-23CF-44E3-9099-C40C66FF867C}">
                    <a14:compatExt spid="_x0000_s25649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5650" name="Check Box 50" hidden="1">
                <a:extLst>
                  <a:ext uri="{63B3BB69-23CF-44E3-9099-C40C66FF867C}">
                    <a14:compatExt spid="_x0000_s25650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5651" name="Check Box 51" hidden="1">
                <a:extLst>
                  <a:ext uri="{63B3BB69-23CF-44E3-9099-C40C66FF867C}">
                    <a14:compatExt spid="_x0000_s25651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5652" name="Check Box 52" hidden="1">
                <a:extLst>
                  <a:ext uri="{63B3BB69-23CF-44E3-9099-C40C66FF867C}">
                    <a14:compatExt spid="_x0000_s25652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538DF459-4204-463D-A56F-9F59E5CE7F4B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6F5AA924-17E1-42C4-9990-FD52262EA645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58D51086-935C-4462-912F-CF4DCE702442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A3ADE7D1-7644-4A45-B5F0-A3A50F915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403160FE-4695-4F2F-A4F8-012040040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E88205B9-10EC-45C8-A71D-5513F5E2D637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8</xdr:col>
      <xdr:colOff>676296</xdr:colOff>
      <xdr:row>34</xdr:row>
      <xdr:rowOff>0</xdr:rowOff>
    </xdr:to>
    <xdr:sp macro="" textlink="">
      <xdr:nvSpPr>
        <xdr:cNvPr id="2" name="Text 30">
          <a:extLst>
            <a:ext uri="{FF2B5EF4-FFF2-40B4-BE49-F238E27FC236}">
              <a16:creationId xmlns:a16="http://schemas.microsoft.com/office/drawing/2014/main" id="{246C8B00-4C3A-4632-9796-BECAB1C03FBD}"/>
            </a:ext>
          </a:extLst>
        </xdr:cNvPr>
        <xdr:cNvSpPr txBox="1">
          <a:spLocks noChangeArrowheads="1"/>
        </xdr:cNvSpPr>
      </xdr:nvSpPr>
      <xdr:spPr bwMode="auto">
        <a:xfrm>
          <a:off x="0" y="6943725"/>
          <a:ext cx="7248546" cy="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본 제안서는 접수후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등록하고 등록후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7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일이내 결과를 통보바랍니다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.</a:t>
          </a:r>
        </a:p>
      </xdr:txBody>
    </xdr:sp>
    <xdr:clientData/>
  </xdr:twoCellAnchor>
  <xdr:oneCellAnchor>
    <xdr:from>
      <xdr:col>0</xdr:col>
      <xdr:colOff>95250</xdr:colOff>
      <xdr:row>0</xdr:row>
      <xdr:rowOff>19050</xdr:rowOff>
    </xdr:from>
    <xdr:ext cx="942975" cy="414130"/>
    <xdr:pic>
      <xdr:nvPicPr>
        <xdr:cNvPr id="3" name="그림 46">
          <a:extLst>
            <a:ext uri="{FF2B5EF4-FFF2-40B4-BE49-F238E27FC236}">
              <a16:creationId xmlns:a16="http://schemas.microsoft.com/office/drawing/2014/main" id="{291BB99A-5451-41F4-AB07-535AC59A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42975" cy="41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400050</xdr:colOff>
          <xdr:row>34</xdr:row>
          <xdr:rowOff>28575</xdr:rowOff>
        </xdr:to>
        <xdr:grpSp>
          <xdr:nvGrpSpPr>
            <xdr:cNvPr id="4" name="그룹 5">
              <a:extLst>
                <a:ext uri="{FF2B5EF4-FFF2-40B4-BE49-F238E27FC236}">
                  <a16:creationId xmlns:a16="http://schemas.microsoft.com/office/drawing/2014/main" id="{5BB7392E-6F4C-4065-8340-165D3E2A977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5463702"/>
              <a:ext cx="1086255" cy="1480226"/>
              <a:chOff x="1883093" y="4572945"/>
              <a:chExt cx="969630" cy="1683079"/>
            </a:xfrm>
          </xdr:grpSpPr>
          <xdr:sp macro="" textlink="">
            <xdr:nvSpPr>
              <xdr:cNvPr id="29697" name="Check Box 1" hidden="1">
                <a:extLst>
                  <a:ext uri="{63B3BB69-23CF-44E3-9099-C40C66FF867C}">
                    <a14:compatExt spid="_x0000_s29697"/>
                  </a:ext>
                  <a:ext uri="{FF2B5EF4-FFF2-40B4-BE49-F238E27FC236}">
                    <a16:creationId xmlns:a16="http://schemas.microsoft.com/office/drawing/2014/main" id="{00000000-0008-0000-0900-000001140000}"/>
                  </a:ext>
                </a:extLst>
              </xdr:cNvPr>
              <xdr:cNvSpPr/>
            </xdr:nvSpPr>
            <xdr:spPr bwMode="auto">
              <a:xfrm>
                <a:off x="1883093" y="457294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규정 위반</a:t>
                </a:r>
              </a:p>
            </xdr:txBody>
          </xdr:sp>
          <xdr:sp macro="" textlink="">
            <xdr:nvSpPr>
              <xdr:cNvPr id="29698" name="Check Box 2" hidden="1">
                <a:extLst>
                  <a:ext uri="{63B3BB69-23CF-44E3-9099-C40C66FF867C}">
                    <a14:compatExt spid="_x0000_s29698"/>
                  </a:ext>
                  <a:ext uri="{FF2B5EF4-FFF2-40B4-BE49-F238E27FC236}">
                    <a16:creationId xmlns:a16="http://schemas.microsoft.com/office/drawing/2014/main" id="{00000000-0008-0000-0900-000002140000}"/>
                  </a:ext>
                </a:extLst>
              </xdr:cNvPr>
              <xdr:cNvSpPr/>
            </xdr:nvSpPr>
            <xdr:spPr bwMode="auto">
              <a:xfrm>
                <a:off x="1883093" y="4969983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무거운 짐 취급</a:t>
                </a:r>
              </a:p>
            </xdr:txBody>
          </xdr:sp>
          <xdr:sp macro="" textlink="">
            <xdr:nvSpPr>
              <xdr:cNvPr id="29699" name="Check Box 3" hidden="1">
                <a:extLst>
                  <a:ext uri="{63B3BB69-23CF-44E3-9099-C40C66FF867C}">
                    <a14:compatExt spid="_x0000_s29699"/>
                  </a:ext>
                  <a:ext uri="{FF2B5EF4-FFF2-40B4-BE49-F238E27FC236}">
                    <a16:creationId xmlns:a16="http://schemas.microsoft.com/office/drawing/2014/main" id="{00000000-0008-0000-0900-000003140000}"/>
                  </a:ext>
                </a:extLst>
              </xdr:cNvPr>
              <xdr:cNvSpPr/>
            </xdr:nvSpPr>
            <xdr:spPr bwMode="auto">
              <a:xfrm>
                <a:off x="1883093" y="516850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보호구</a:t>
                </a:r>
              </a:p>
            </xdr:txBody>
          </xdr:sp>
          <xdr:sp macro="" textlink="">
            <xdr:nvSpPr>
              <xdr:cNvPr id="29700" name="Check Box 4" hidden="1">
                <a:extLst>
                  <a:ext uri="{63B3BB69-23CF-44E3-9099-C40C66FF867C}">
                    <a14:compatExt spid="_x0000_s29700"/>
                  </a:ext>
                  <a:ext uri="{FF2B5EF4-FFF2-40B4-BE49-F238E27FC236}">
                    <a16:creationId xmlns:a16="http://schemas.microsoft.com/office/drawing/2014/main" id="{00000000-0008-0000-0900-000004140000}"/>
                  </a:ext>
                </a:extLst>
              </xdr:cNvPr>
              <xdr:cNvSpPr/>
            </xdr:nvSpPr>
            <xdr:spPr bwMode="auto">
              <a:xfrm>
                <a:off x="1883093" y="5367015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불안전한 자세</a:t>
                </a:r>
              </a:p>
            </xdr:txBody>
          </xdr:sp>
          <xdr:sp macro="" textlink="">
            <xdr:nvSpPr>
              <xdr:cNvPr id="29701" name="Check Box 5" hidden="1">
                <a:extLst>
                  <a:ext uri="{63B3BB69-23CF-44E3-9099-C40C66FF867C}">
                    <a14:compatExt spid="_x0000_s29701"/>
                  </a:ext>
                  <a:ext uri="{FF2B5EF4-FFF2-40B4-BE49-F238E27FC236}">
                    <a16:creationId xmlns:a16="http://schemas.microsoft.com/office/drawing/2014/main" id="{00000000-0008-0000-0900-000005140000}"/>
                  </a:ext>
                </a:extLst>
              </xdr:cNvPr>
              <xdr:cNvSpPr/>
            </xdr:nvSpPr>
            <xdr:spPr bwMode="auto">
              <a:xfrm>
                <a:off x="1883093" y="5565531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소통 미비</a:t>
                </a:r>
              </a:p>
            </xdr:txBody>
          </xdr:sp>
          <xdr:sp macro="" textlink="">
            <xdr:nvSpPr>
              <xdr:cNvPr id="29702" name="Check Box 6" hidden="1">
                <a:extLst>
                  <a:ext uri="{63B3BB69-23CF-44E3-9099-C40C66FF867C}">
                    <a14:compatExt spid="_x0000_s29702"/>
                  </a:ext>
                  <a:ext uri="{FF2B5EF4-FFF2-40B4-BE49-F238E27FC236}">
                    <a16:creationId xmlns:a16="http://schemas.microsoft.com/office/drawing/2014/main" id="{00000000-0008-0000-0900-000006140000}"/>
                  </a:ext>
                </a:extLst>
              </xdr:cNvPr>
              <xdr:cNvSpPr/>
            </xdr:nvSpPr>
            <xdr:spPr bwMode="auto">
              <a:xfrm>
                <a:off x="1883093" y="5764050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평소 습관</a:t>
                </a:r>
              </a:p>
            </xdr:txBody>
          </xdr:sp>
          <xdr:sp macro="" textlink="">
            <xdr:nvSpPr>
              <xdr:cNvPr id="29703" name="Check Box 7" hidden="1">
                <a:extLst>
                  <a:ext uri="{63B3BB69-23CF-44E3-9099-C40C66FF867C}">
                    <a14:compatExt spid="_x0000_s29703"/>
                  </a:ext>
                  <a:ext uri="{FF2B5EF4-FFF2-40B4-BE49-F238E27FC236}">
                    <a16:creationId xmlns:a16="http://schemas.microsoft.com/office/drawing/2014/main" id="{00000000-0008-0000-0900-000007140000}"/>
                  </a:ext>
                </a:extLst>
              </xdr:cNvPr>
              <xdr:cNvSpPr/>
            </xdr:nvSpPr>
            <xdr:spPr bwMode="auto">
              <a:xfrm>
                <a:off x="1883093" y="4771469"/>
                <a:ext cx="969630" cy="293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도구의 잘못 사용</a:t>
                </a:r>
              </a:p>
            </xdr:txBody>
          </xdr:sp>
          <xdr:sp macro="" textlink="">
            <xdr:nvSpPr>
              <xdr:cNvPr id="29704" name="Check Box 8" hidden="1">
                <a:extLst>
                  <a:ext uri="{63B3BB69-23CF-44E3-9099-C40C66FF867C}">
                    <a14:compatExt spid="_x0000_s29704"/>
                  </a:ext>
                  <a:ext uri="{FF2B5EF4-FFF2-40B4-BE49-F238E27FC236}">
                    <a16:creationId xmlns:a16="http://schemas.microsoft.com/office/drawing/2014/main" id="{00000000-0008-0000-0900-000008140000}"/>
                  </a:ext>
                </a:extLst>
              </xdr:cNvPr>
              <xdr:cNvSpPr/>
            </xdr:nvSpPr>
            <xdr:spPr bwMode="auto">
              <a:xfrm>
                <a:off x="1883093" y="5962565"/>
                <a:ext cx="969630" cy="2934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28</xdr:row>
          <xdr:rowOff>85725</xdr:rowOff>
        </xdr:from>
        <xdr:to>
          <xdr:col>7</xdr:col>
          <xdr:colOff>733425</xdr:colOff>
          <xdr:row>30</xdr:row>
          <xdr:rowOff>133350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B79FE20C-3DDB-4062-BC7B-934AA17633A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5755532"/>
              <a:ext cx="1750978" cy="462063"/>
              <a:chOff x="3535676" y="4572040"/>
              <a:chExt cx="1554480" cy="449561"/>
            </a:xfrm>
          </xdr:grpSpPr>
          <xdr:sp macro="" textlink="">
            <xdr:nvSpPr>
              <xdr:cNvPr id="29705" name="Check Box 9" hidden="1">
                <a:extLst>
                  <a:ext uri="{63B3BB69-23CF-44E3-9099-C40C66FF867C}">
                    <a14:compatExt spid="_x0000_s29705"/>
                  </a:ext>
                  <a:ext uri="{FF2B5EF4-FFF2-40B4-BE49-F238E27FC236}">
                    <a16:creationId xmlns:a16="http://schemas.microsoft.com/office/drawing/2014/main" id="{00000000-0008-0000-0900-000009140000}"/>
                  </a:ext>
                </a:extLst>
              </xdr:cNvPr>
              <xdr:cNvSpPr/>
            </xdr:nvSpPr>
            <xdr:spPr bwMode="auto">
              <a:xfrm>
                <a:off x="3535680" y="4572040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위험경로에 위치함</a:t>
                </a:r>
              </a:p>
            </xdr:txBody>
          </xdr:sp>
          <xdr:sp macro="" textlink="">
            <xdr:nvSpPr>
              <xdr:cNvPr id="29706" name="Check Box 10" hidden="1">
                <a:extLst>
                  <a:ext uri="{63B3BB69-23CF-44E3-9099-C40C66FF867C}">
                    <a14:compatExt spid="_x0000_s29706"/>
                  </a:ext>
                  <a:ext uri="{FF2B5EF4-FFF2-40B4-BE49-F238E27FC236}">
                    <a16:creationId xmlns:a16="http://schemas.microsoft.com/office/drawing/2014/main" id="{00000000-0008-0000-0900-00000A140000}"/>
                  </a:ext>
                </a:extLst>
              </xdr:cNvPr>
              <xdr:cNvSpPr/>
            </xdr:nvSpPr>
            <xdr:spPr bwMode="auto">
              <a:xfrm>
                <a:off x="3535676" y="474728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몸의 균형이 불안정해짐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29</xdr:row>
          <xdr:rowOff>66675</xdr:rowOff>
        </xdr:from>
        <xdr:to>
          <xdr:col>9</xdr:col>
          <xdr:colOff>28575</xdr:colOff>
          <xdr:row>32</xdr:row>
          <xdr:rowOff>171450</xdr:rowOff>
        </xdr:to>
        <xdr:grpSp>
          <xdr:nvGrpSpPr>
            <xdr:cNvPr id="6" name="그룹 2">
              <a:extLst>
                <a:ext uri="{FF2B5EF4-FFF2-40B4-BE49-F238E27FC236}">
                  <a16:creationId xmlns:a16="http://schemas.microsoft.com/office/drawing/2014/main" id="{9E5F2074-7DE8-46C9-80AC-96317CECF7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39127" y="5945221"/>
              <a:ext cx="781456" cy="726332"/>
              <a:chOff x="5394960" y="4838704"/>
              <a:chExt cx="568701" cy="722503"/>
            </a:xfrm>
          </xdr:grpSpPr>
          <xdr:sp macro="" textlink="">
            <xdr:nvSpPr>
              <xdr:cNvPr id="29707" name="Check Box 11" hidden="1">
                <a:extLst>
                  <a:ext uri="{63B3BB69-23CF-44E3-9099-C40C66FF867C}">
                    <a14:compatExt spid="_x0000_s29707"/>
                  </a:ext>
                  <a:ext uri="{FF2B5EF4-FFF2-40B4-BE49-F238E27FC236}">
                    <a16:creationId xmlns:a16="http://schemas.microsoft.com/office/drawing/2014/main" id="{00000000-0008-0000-0900-00000B140000}"/>
                  </a:ext>
                </a:extLst>
              </xdr:cNvPr>
              <xdr:cNvSpPr/>
            </xdr:nvSpPr>
            <xdr:spPr bwMode="auto">
              <a:xfrm>
                <a:off x="5394960" y="4838704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서두름</a:t>
                </a:r>
              </a:p>
            </xdr:txBody>
          </xdr:sp>
          <xdr:sp macro="" textlink="">
            <xdr:nvSpPr>
              <xdr:cNvPr id="29708" name="Check Box 12" hidden="1">
                <a:extLst>
                  <a:ext uri="{63B3BB69-23CF-44E3-9099-C40C66FF867C}">
                    <a14:compatExt spid="_x0000_s29708"/>
                  </a:ext>
                  <a:ext uri="{FF2B5EF4-FFF2-40B4-BE49-F238E27FC236}">
                    <a16:creationId xmlns:a16="http://schemas.microsoft.com/office/drawing/2014/main" id="{00000000-0008-0000-0900-00000C140000}"/>
                  </a:ext>
                </a:extLst>
              </xdr:cNvPr>
              <xdr:cNvSpPr/>
            </xdr:nvSpPr>
            <xdr:spPr bwMode="auto">
              <a:xfrm>
                <a:off x="5394960" y="5021118"/>
                <a:ext cx="568701" cy="143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피로</a:t>
                </a:r>
              </a:p>
            </xdr:txBody>
          </xdr:sp>
          <xdr:sp macro="" textlink="">
            <xdr:nvSpPr>
              <xdr:cNvPr id="29709" name="Check Box 13" hidden="1">
                <a:extLst>
                  <a:ext uri="{63B3BB69-23CF-44E3-9099-C40C66FF867C}">
                    <a14:compatExt spid="_x0000_s29709"/>
                  </a:ext>
                  <a:ext uri="{FF2B5EF4-FFF2-40B4-BE49-F238E27FC236}">
                    <a16:creationId xmlns:a16="http://schemas.microsoft.com/office/drawing/2014/main" id="{00000000-0008-0000-0900-00000D140000}"/>
                  </a:ext>
                </a:extLst>
              </xdr:cNvPr>
              <xdr:cNvSpPr/>
            </xdr:nvSpPr>
            <xdr:spPr bwMode="auto">
              <a:xfrm>
                <a:off x="5394960" y="5203536"/>
                <a:ext cx="525780" cy="1752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스트레스 </a:t>
                </a:r>
              </a:p>
            </xdr:txBody>
          </xdr:sp>
          <xdr:sp macro="" textlink="">
            <xdr:nvSpPr>
              <xdr:cNvPr id="29710" name="Check Box 14" hidden="1">
                <a:extLst>
                  <a:ext uri="{63B3BB69-23CF-44E3-9099-C40C66FF867C}">
                    <a14:compatExt spid="_x0000_s29710"/>
                  </a:ext>
                  <a:ext uri="{FF2B5EF4-FFF2-40B4-BE49-F238E27FC236}">
                    <a16:creationId xmlns:a16="http://schemas.microsoft.com/office/drawing/2014/main" id="{00000000-0008-0000-0900-00000E140000}"/>
                  </a:ext>
                </a:extLst>
              </xdr:cNvPr>
              <xdr:cNvSpPr/>
            </xdr:nvSpPr>
            <xdr:spPr bwMode="auto">
              <a:xfrm>
                <a:off x="5394960" y="5417811"/>
                <a:ext cx="568701" cy="14339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자만심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581025</xdr:colOff>
          <xdr:row>18</xdr:row>
          <xdr:rowOff>47625</xdr:rowOff>
        </xdr:from>
        <xdr:to>
          <xdr:col>7</xdr:col>
          <xdr:colOff>762000</xdr:colOff>
          <xdr:row>25</xdr:row>
          <xdr:rowOff>152400</xdr:rowOff>
        </xdr:to>
        <xdr:grpSp>
          <xdr:nvGrpSpPr>
            <xdr:cNvPr id="7" name="그룹 8">
              <a:extLst>
                <a:ext uri="{FF2B5EF4-FFF2-40B4-BE49-F238E27FC236}">
                  <a16:creationId xmlns:a16="http://schemas.microsoft.com/office/drawing/2014/main" id="{04E520F0-E15D-4540-9DBC-3E7ED0C0256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09745" y="3691647"/>
              <a:ext cx="1467255" cy="1522379"/>
              <a:chOff x="903513" y="4495526"/>
              <a:chExt cx="1122959" cy="1545362"/>
            </a:xfrm>
          </xdr:grpSpPr>
          <xdr:sp macro="" textlink="">
            <xdr:nvSpPr>
              <xdr:cNvPr id="29711" name="Check Box 15" hidden="1">
                <a:extLst>
                  <a:ext uri="{63B3BB69-23CF-44E3-9099-C40C66FF867C}">
                    <a14:compatExt spid="_x0000_s29711"/>
                  </a:ext>
                  <a:ext uri="{FF2B5EF4-FFF2-40B4-BE49-F238E27FC236}">
                    <a16:creationId xmlns:a16="http://schemas.microsoft.com/office/drawing/2014/main" id="{00000000-0008-0000-0900-00000F140000}"/>
                  </a:ext>
                </a:extLst>
              </xdr:cNvPr>
              <xdr:cNvSpPr/>
            </xdr:nvSpPr>
            <xdr:spPr bwMode="auto">
              <a:xfrm>
                <a:off x="903513" y="5532285"/>
                <a:ext cx="859643" cy="1558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동물/뱀/벌</a:t>
                </a:r>
              </a:p>
            </xdr:txBody>
          </xdr:sp>
          <xdr:sp macro="" textlink="">
            <xdr:nvSpPr>
              <xdr:cNvPr id="29712" name="Check Box 16" hidden="1">
                <a:extLst>
                  <a:ext uri="{63B3BB69-23CF-44E3-9099-C40C66FF867C}">
                    <a14:compatExt spid="_x0000_s29712"/>
                  </a:ext>
                  <a:ext uri="{FF2B5EF4-FFF2-40B4-BE49-F238E27FC236}">
                    <a16:creationId xmlns:a16="http://schemas.microsoft.com/office/drawing/2014/main" id="{00000000-0008-0000-0900-000010140000}"/>
                  </a:ext>
                </a:extLst>
              </xdr:cNvPr>
              <xdr:cNvSpPr/>
            </xdr:nvSpPr>
            <xdr:spPr bwMode="auto">
              <a:xfrm>
                <a:off x="903513" y="5688776"/>
                <a:ext cx="709414" cy="1757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제3자</a:t>
                </a:r>
              </a:p>
            </xdr:txBody>
          </xdr:sp>
          <xdr:sp macro="" textlink="">
            <xdr:nvSpPr>
              <xdr:cNvPr id="29713" name="Check Box 17" hidden="1">
                <a:extLst>
                  <a:ext uri="{63B3BB69-23CF-44E3-9099-C40C66FF867C}">
                    <a14:compatExt spid="_x0000_s29713"/>
                  </a:ext>
                  <a:ext uri="{FF2B5EF4-FFF2-40B4-BE49-F238E27FC236}">
                    <a16:creationId xmlns:a16="http://schemas.microsoft.com/office/drawing/2014/main" id="{00000000-0008-0000-0900-000011140000}"/>
                  </a:ext>
                </a:extLst>
              </xdr:cNvPr>
              <xdr:cNvSpPr/>
            </xdr:nvSpPr>
            <xdr:spPr bwMode="auto">
              <a:xfrm>
                <a:off x="903513" y="4495526"/>
                <a:ext cx="1122959" cy="1564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자연재해</a:t>
                </a:r>
              </a:p>
            </xdr:txBody>
          </xdr:sp>
          <xdr:sp macro="" textlink="">
            <xdr:nvSpPr>
              <xdr:cNvPr id="29714" name="Check Box 18" hidden="1">
                <a:extLst>
                  <a:ext uri="{63B3BB69-23CF-44E3-9099-C40C66FF867C}">
                    <a14:compatExt spid="_x0000_s29714"/>
                  </a:ext>
                  <a:ext uri="{FF2B5EF4-FFF2-40B4-BE49-F238E27FC236}">
                    <a16:creationId xmlns:a16="http://schemas.microsoft.com/office/drawing/2014/main" id="{00000000-0008-0000-0900-000012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46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9715" name="Check Box 19" hidden="1">
                <a:extLst>
                  <a:ext uri="{63B3BB69-23CF-44E3-9099-C40C66FF867C}">
                    <a14:compatExt spid="_x0000_s29715"/>
                  </a:ext>
                  <a:ext uri="{FF2B5EF4-FFF2-40B4-BE49-F238E27FC236}">
                    <a16:creationId xmlns:a16="http://schemas.microsoft.com/office/drawing/2014/main" id="{00000000-0008-0000-0900-000013140000}"/>
                  </a:ext>
                </a:extLst>
              </xdr:cNvPr>
              <xdr:cNvSpPr/>
            </xdr:nvSpPr>
            <xdr:spPr bwMode="auto">
              <a:xfrm>
                <a:off x="903513" y="4848254"/>
                <a:ext cx="1122959" cy="1460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계단</a:t>
                </a:r>
              </a:p>
            </xdr:txBody>
          </xdr:sp>
          <xdr:sp macro="" textlink="">
            <xdr:nvSpPr>
              <xdr:cNvPr id="29716" name="Check Box 20" hidden="1">
                <a:extLst>
                  <a:ext uri="{63B3BB69-23CF-44E3-9099-C40C66FF867C}">
                    <a14:compatExt spid="_x0000_s29716"/>
                  </a:ext>
                  <a:ext uri="{FF2B5EF4-FFF2-40B4-BE49-F238E27FC236}">
                    <a16:creationId xmlns:a16="http://schemas.microsoft.com/office/drawing/2014/main" id="{00000000-0008-0000-0900-000014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3599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낙석</a:t>
                </a:r>
              </a:p>
            </xdr:txBody>
          </xdr:sp>
          <xdr:sp macro="" textlink="">
            <xdr:nvSpPr>
              <xdr:cNvPr id="29717" name="Check Box 21" hidden="1">
                <a:extLst>
                  <a:ext uri="{63B3BB69-23CF-44E3-9099-C40C66FF867C}">
                    <a14:compatExt spid="_x0000_s29717"/>
                  </a:ext>
                  <a:ext uri="{FF2B5EF4-FFF2-40B4-BE49-F238E27FC236}">
                    <a16:creationId xmlns:a16="http://schemas.microsoft.com/office/drawing/2014/main" id="{00000000-0008-0000-0900-000015140000}"/>
                  </a:ext>
                </a:extLst>
              </xdr:cNvPr>
              <xdr:cNvSpPr/>
            </xdr:nvSpPr>
            <xdr:spPr bwMode="auto">
              <a:xfrm>
                <a:off x="903513" y="5170395"/>
                <a:ext cx="1008019" cy="20539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폭설/결빙</a:t>
                </a:r>
              </a:p>
            </xdr:txBody>
          </xdr:sp>
          <xdr:sp macro="" textlink="">
            <xdr:nvSpPr>
              <xdr:cNvPr id="29718" name="Check Box 22" hidden="1">
                <a:extLst>
                  <a:ext uri="{63B3BB69-23CF-44E3-9099-C40C66FF867C}">
                    <a14:compatExt spid="_x0000_s29718"/>
                  </a:ext>
                  <a:ext uri="{FF2B5EF4-FFF2-40B4-BE49-F238E27FC236}">
                    <a16:creationId xmlns:a16="http://schemas.microsoft.com/office/drawing/2014/main" id="{00000000-0008-0000-0900-000016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도구 및 장비</a:t>
                </a:r>
              </a:p>
            </xdr:txBody>
          </xdr:sp>
          <xdr:sp macro="" textlink="">
            <xdr:nvSpPr>
              <xdr:cNvPr id="29719" name="Check Box 23" hidden="1">
                <a:extLst>
                  <a:ext uri="{63B3BB69-23CF-44E3-9099-C40C66FF867C}">
                    <a14:compatExt spid="_x0000_s29719"/>
                  </a:ext>
                  <a:ext uri="{FF2B5EF4-FFF2-40B4-BE49-F238E27FC236}">
                    <a16:creationId xmlns:a16="http://schemas.microsoft.com/office/drawing/2014/main" id="{00000000-0008-0000-0900-000017140000}"/>
                  </a:ext>
                </a:extLst>
              </xdr:cNvPr>
              <xdr:cNvSpPr/>
            </xdr:nvSpPr>
            <xdr:spPr bwMode="auto">
              <a:xfrm>
                <a:off x="903513" y="5855054"/>
                <a:ext cx="752407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조명/환경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31</xdr:row>
          <xdr:rowOff>19050</xdr:rowOff>
        </xdr:from>
        <xdr:to>
          <xdr:col>7</xdr:col>
          <xdr:colOff>733425</xdr:colOff>
          <xdr:row>32</xdr:row>
          <xdr:rowOff>190500</xdr:rowOff>
        </xdr:to>
        <xdr:grpSp>
          <xdr:nvGrpSpPr>
            <xdr:cNvPr id="8" name="그룹 56">
              <a:extLst>
                <a:ext uri="{FF2B5EF4-FFF2-40B4-BE49-F238E27FC236}">
                  <a16:creationId xmlns:a16="http://schemas.microsoft.com/office/drawing/2014/main" id="{F2742A05-FF5A-453A-A247-DE7BE98F56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696839" y="6313251"/>
              <a:ext cx="1750978" cy="376136"/>
              <a:chOff x="3535676" y="4533513"/>
              <a:chExt cx="1554480" cy="513808"/>
            </a:xfrm>
          </xdr:grpSpPr>
          <xdr:sp macro="" textlink="">
            <xdr:nvSpPr>
              <xdr:cNvPr id="29720" name="Check Box 24" hidden="1">
                <a:extLst>
                  <a:ext uri="{63B3BB69-23CF-44E3-9099-C40C66FF867C}">
                    <a14:compatExt spid="_x0000_s29720"/>
                  </a:ext>
                  <a:ext uri="{FF2B5EF4-FFF2-40B4-BE49-F238E27FC236}">
                    <a16:creationId xmlns:a16="http://schemas.microsoft.com/office/drawing/2014/main" id="{00000000-0008-0000-0900-000018140000}"/>
                  </a:ext>
                </a:extLst>
              </xdr:cNvPr>
              <xdr:cNvSpPr/>
            </xdr:nvSpPr>
            <xdr:spPr bwMode="auto">
              <a:xfrm>
                <a:off x="3535680" y="4533513"/>
                <a:ext cx="12115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보지 않음</a:t>
                </a:r>
              </a:p>
            </xdr:txBody>
          </xdr:sp>
          <xdr:sp macro="" textlink="">
            <xdr:nvSpPr>
              <xdr:cNvPr id="29721" name="Check Box 25" hidden="1">
                <a:extLst>
                  <a:ext uri="{63B3BB69-23CF-44E3-9099-C40C66FF867C}">
                    <a14:compatExt spid="_x0000_s29721"/>
                  </a:ext>
                  <a:ext uri="{FF2B5EF4-FFF2-40B4-BE49-F238E27FC236}">
                    <a16:creationId xmlns:a16="http://schemas.microsoft.com/office/drawing/2014/main" id="{00000000-0008-0000-0900-000019140000}"/>
                  </a:ext>
                </a:extLst>
              </xdr:cNvPr>
              <xdr:cNvSpPr/>
            </xdr:nvSpPr>
            <xdr:spPr bwMode="auto">
              <a:xfrm>
                <a:off x="3535676" y="4773001"/>
                <a:ext cx="1554480" cy="2743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위험을 생각하지 않음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47625</xdr:rowOff>
        </xdr:from>
        <xdr:to>
          <xdr:col>5</xdr:col>
          <xdr:colOff>47625</xdr:colOff>
          <xdr:row>25</xdr:row>
          <xdr:rowOff>142875</xdr:rowOff>
        </xdr:to>
        <xdr:grpSp>
          <xdr:nvGrpSpPr>
            <xdr:cNvPr id="9" name="그룹 59">
              <a:extLst>
                <a:ext uri="{FF2B5EF4-FFF2-40B4-BE49-F238E27FC236}">
                  <a16:creationId xmlns:a16="http://schemas.microsoft.com/office/drawing/2014/main" id="{9C8D2F31-1801-4185-A7E1-B127A97A833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33928" y="3691647"/>
              <a:ext cx="1342417" cy="1512651"/>
              <a:chOff x="903513" y="4495533"/>
              <a:chExt cx="1122959" cy="1535576"/>
            </a:xfrm>
          </xdr:grpSpPr>
          <xdr:sp macro="" textlink="">
            <xdr:nvSpPr>
              <xdr:cNvPr id="29722" name="Check Box 26" hidden="1">
                <a:extLst>
                  <a:ext uri="{63B3BB69-23CF-44E3-9099-C40C66FF867C}">
                    <a14:compatExt spid="_x0000_s29722"/>
                  </a:ext>
                  <a:ext uri="{FF2B5EF4-FFF2-40B4-BE49-F238E27FC236}">
                    <a16:creationId xmlns:a16="http://schemas.microsoft.com/office/drawing/2014/main" id="{00000000-0008-0000-0900-00001A140000}"/>
                  </a:ext>
                </a:extLst>
              </xdr:cNvPr>
              <xdr:cNvSpPr/>
            </xdr:nvSpPr>
            <xdr:spPr bwMode="auto">
              <a:xfrm>
                <a:off x="903513" y="5531244"/>
                <a:ext cx="859643" cy="177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운전장비</a:t>
                </a:r>
              </a:p>
            </xdr:txBody>
          </xdr:sp>
          <xdr:sp macro="" textlink="">
            <xdr:nvSpPr>
              <xdr:cNvPr id="29723" name="Check Box 27" hidden="1">
                <a:extLst>
                  <a:ext uri="{63B3BB69-23CF-44E3-9099-C40C66FF867C}">
                    <a14:compatExt spid="_x0000_s29723"/>
                  </a:ext>
                  <a:ext uri="{FF2B5EF4-FFF2-40B4-BE49-F238E27FC236}">
                    <a16:creationId xmlns:a16="http://schemas.microsoft.com/office/drawing/2014/main" id="{00000000-0008-0000-0900-00001B140000}"/>
                  </a:ext>
                </a:extLst>
              </xdr:cNvPr>
              <xdr:cNvSpPr/>
            </xdr:nvSpPr>
            <xdr:spPr bwMode="auto">
              <a:xfrm>
                <a:off x="903513" y="5708336"/>
                <a:ext cx="709414" cy="1561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</a:t>
                </a:r>
              </a:p>
            </xdr:txBody>
          </xdr:sp>
          <xdr:sp macro="" textlink="">
            <xdr:nvSpPr>
              <xdr:cNvPr id="29724" name="Check Box 28" hidden="1">
                <a:extLst>
                  <a:ext uri="{63B3BB69-23CF-44E3-9099-C40C66FF867C}">
                    <a14:compatExt spid="_x0000_s29724"/>
                  </a:ext>
                  <a:ext uri="{FF2B5EF4-FFF2-40B4-BE49-F238E27FC236}">
                    <a16:creationId xmlns:a16="http://schemas.microsoft.com/office/drawing/2014/main" id="{00000000-0008-0000-0900-00001C140000}"/>
                  </a:ext>
                </a:extLst>
              </xdr:cNvPr>
              <xdr:cNvSpPr/>
            </xdr:nvSpPr>
            <xdr:spPr bwMode="auto">
              <a:xfrm>
                <a:off x="903513" y="4495533"/>
                <a:ext cx="1122959" cy="18583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통로</a:t>
                </a:r>
              </a:p>
            </xdr:txBody>
          </xdr:sp>
          <xdr:sp macro="" textlink="">
            <xdr:nvSpPr>
              <xdr:cNvPr id="29725" name="Check Box 29" hidden="1">
                <a:extLst>
                  <a:ext uri="{63B3BB69-23CF-44E3-9099-C40C66FF867C}">
                    <a14:compatExt spid="_x0000_s29725"/>
                  </a:ext>
                  <a:ext uri="{FF2B5EF4-FFF2-40B4-BE49-F238E27FC236}">
                    <a16:creationId xmlns:a16="http://schemas.microsoft.com/office/drawing/2014/main" id="{00000000-0008-0000-0900-00001D140000}"/>
                  </a:ext>
                </a:extLst>
              </xdr:cNvPr>
              <xdr:cNvSpPr/>
            </xdr:nvSpPr>
            <xdr:spPr bwMode="auto">
              <a:xfrm>
                <a:off x="903513" y="4671890"/>
                <a:ext cx="1122959" cy="1561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돌출부</a:t>
                </a:r>
              </a:p>
            </xdr:txBody>
          </xdr:sp>
          <xdr:sp macro="" textlink="">
            <xdr:nvSpPr>
              <xdr:cNvPr id="29726" name="Check Box 30" hidden="1">
                <a:extLst>
                  <a:ext uri="{63B3BB69-23CF-44E3-9099-C40C66FF867C}">
                    <a14:compatExt spid="_x0000_s29726"/>
                  </a:ext>
                  <a:ext uri="{FF2B5EF4-FFF2-40B4-BE49-F238E27FC236}">
                    <a16:creationId xmlns:a16="http://schemas.microsoft.com/office/drawing/2014/main" id="{00000000-0008-0000-0900-00001E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754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안전난간</a:t>
                </a:r>
              </a:p>
            </xdr:txBody>
          </xdr:sp>
          <xdr:sp macro="" textlink="">
            <xdr:nvSpPr>
              <xdr:cNvPr id="29727" name="Check Box 31" hidden="1">
                <a:extLst>
                  <a:ext uri="{63B3BB69-23CF-44E3-9099-C40C66FF867C}">
                    <a14:compatExt spid="_x0000_s29727"/>
                  </a:ext>
                  <a:ext uri="{FF2B5EF4-FFF2-40B4-BE49-F238E27FC236}">
                    <a16:creationId xmlns:a16="http://schemas.microsoft.com/office/drawing/2014/main" id="{00000000-0008-0000-0900-00001F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751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작업발판</a:t>
                </a:r>
              </a:p>
            </xdr:txBody>
          </xdr:sp>
          <xdr:sp macro="" textlink="">
            <xdr:nvSpPr>
              <xdr:cNvPr id="29728" name="Check Box 32" hidden="1">
                <a:extLst>
                  <a:ext uri="{63B3BB69-23CF-44E3-9099-C40C66FF867C}">
                    <a14:compatExt spid="_x0000_s29728"/>
                  </a:ext>
                  <a:ext uri="{FF2B5EF4-FFF2-40B4-BE49-F238E27FC236}">
                    <a16:creationId xmlns:a16="http://schemas.microsoft.com/office/drawing/2014/main" id="{00000000-0008-0000-0900-000020140000}"/>
                  </a:ext>
                </a:extLst>
              </xdr:cNvPr>
              <xdr:cNvSpPr/>
            </xdr:nvSpPr>
            <xdr:spPr bwMode="auto">
              <a:xfrm>
                <a:off x="903513" y="5200986"/>
                <a:ext cx="1008019" cy="1552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개구부</a:t>
                </a:r>
              </a:p>
            </xdr:txBody>
          </xdr:sp>
          <xdr:sp macro="" textlink="">
            <xdr:nvSpPr>
              <xdr:cNvPr id="29729" name="Check Box 33" hidden="1">
                <a:extLst>
                  <a:ext uri="{63B3BB69-23CF-44E3-9099-C40C66FF867C}">
                    <a14:compatExt spid="_x0000_s29729"/>
                  </a:ext>
                  <a:ext uri="{FF2B5EF4-FFF2-40B4-BE49-F238E27FC236}">
                    <a16:creationId xmlns:a16="http://schemas.microsoft.com/office/drawing/2014/main" id="{00000000-0008-0000-0900-000021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전기</a:t>
                </a:r>
              </a:p>
            </xdr:txBody>
          </xdr:sp>
          <xdr:sp macro="" textlink="">
            <xdr:nvSpPr>
              <xdr:cNvPr id="29730" name="Check Box 34" hidden="1">
                <a:extLst>
                  <a:ext uri="{63B3BB69-23CF-44E3-9099-C40C66FF867C}">
                    <a14:compatExt spid="_x0000_s29730"/>
                  </a:ext>
                  <a:ext uri="{FF2B5EF4-FFF2-40B4-BE49-F238E27FC236}">
                    <a16:creationId xmlns:a16="http://schemas.microsoft.com/office/drawing/2014/main" id="{00000000-0008-0000-0900-000022140000}"/>
                  </a:ext>
                </a:extLst>
              </xdr:cNvPr>
              <xdr:cNvSpPr/>
            </xdr:nvSpPr>
            <xdr:spPr bwMode="auto">
              <a:xfrm>
                <a:off x="903513" y="5903547"/>
                <a:ext cx="752407" cy="1275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정리정돈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6</xdr:col>
      <xdr:colOff>390525</xdr:colOff>
      <xdr:row>30</xdr:row>
      <xdr:rowOff>104775</xdr:rowOff>
    </xdr:from>
    <xdr:to>
      <xdr:col>6</xdr:col>
      <xdr:colOff>495300</xdr:colOff>
      <xdr:row>31</xdr:row>
      <xdr:rowOff>47625</xdr:rowOff>
    </xdr:to>
    <xdr:sp macro="" textlink="">
      <xdr:nvSpPr>
        <xdr:cNvPr id="10" name="오른쪽 화살표 70">
          <a:extLst>
            <a:ext uri="{FF2B5EF4-FFF2-40B4-BE49-F238E27FC236}">
              <a16:creationId xmlns:a16="http://schemas.microsoft.com/office/drawing/2014/main" id="{75B32875-0B25-48DB-B4B8-7DB5A6C7DB0B}"/>
            </a:ext>
          </a:extLst>
        </xdr:cNvPr>
        <xdr:cNvSpPr>
          <a:spLocks noChangeArrowheads="1"/>
        </xdr:cNvSpPr>
      </xdr:nvSpPr>
      <xdr:spPr bwMode="auto">
        <a:xfrm rot="5400000">
          <a:off x="5405438" y="6234112"/>
          <a:ext cx="152400" cy="104775"/>
        </a:xfrm>
        <a:prstGeom prst="rightArrow">
          <a:avLst>
            <a:gd name="adj1" fmla="val 50000"/>
            <a:gd name="adj2" fmla="val 49340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666750</xdr:colOff>
      <xdr:row>30</xdr:row>
      <xdr:rowOff>152400</xdr:rowOff>
    </xdr:from>
    <xdr:to>
      <xdr:col>7</xdr:col>
      <xdr:colOff>838200</xdr:colOff>
      <xdr:row>31</xdr:row>
      <xdr:rowOff>57150</xdr:rowOff>
    </xdr:to>
    <xdr:sp macro="" textlink="">
      <xdr:nvSpPr>
        <xdr:cNvPr id="11" name="오른쪽 화살표 71">
          <a:extLst>
            <a:ext uri="{FF2B5EF4-FFF2-40B4-BE49-F238E27FC236}">
              <a16:creationId xmlns:a16="http://schemas.microsoft.com/office/drawing/2014/main" id="{2B0EFBA3-D460-4461-986D-5B112D828926}"/>
            </a:ext>
          </a:extLst>
        </xdr:cNvPr>
        <xdr:cNvSpPr>
          <a:spLocks noChangeArrowheads="1"/>
        </xdr:cNvSpPr>
      </xdr:nvSpPr>
      <xdr:spPr bwMode="auto">
        <a:xfrm>
          <a:off x="6381750" y="6257925"/>
          <a:ext cx="171450" cy="114300"/>
        </a:xfrm>
        <a:prstGeom prst="rightArrow">
          <a:avLst>
            <a:gd name="adj1" fmla="val 50000"/>
            <a:gd name="adj2" fmla="val 5131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514350</xdr:colOff>
      <xdr:row>29</xdr:row>
      <xdr:rowOff>76200</xdr:rowOff>
    </xdr:from>
    <xdr:to>
      <xdr:col>5</xdr:col>
      <xdr:colOff>76200</xdr:colOff>
      <xdr:row>29</xdr:row>
      <xdr:rowOff>190500</xdr:rowOff>
    </xdr:to>
    <xdr:sp macro="" textlink="">
      <xdr:nvSpPr>
        <xdr:cNvPr id="12" name="오른쪽 화살표 72">
          <a:extLst>
            <a:ext uri="{FF2B5EF4-FFF2-40B4-BE49-F238E27FC236}">
              <a16:creationId xmlns:a16="http://schemas.microsoft.com/office/drawing/2014/main" id="{C5ABAE80-5F85-4CE6-89DA-F1F935B70544}"/>
            </a:ext>
          </a:extLst>
        </xdr:cNvPr>
        <xdr:cNvSpPr>
          <a:spLocks noChangeArrowheads="1"/>
        </xdr:cNvSpPr>
      </xdr:nvSpPr>
      <xdr:spPr bwMode="auto">
        <a:xfrm>
          <a:off x="4333875" y="597217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177545</xdr:colOff>
      <xdr:row>28</xdr:row>
      <xdr:rowOff>34834</xdr:rowOff>
    </xdr:from>
    <xdr:to>
      <xdr:col>7</xdr:col>
      <xdr:colOff>596281</xdr:colOff>
      <xdr:row>33</xdr:row>
      <xdr:rowOff>0</xdr:rowOff>
    </xdr:to>
    <xdr:sp macro="" textlink="">
      <xdr:nvSpPr>
        <xdr:cNvPr id="13" name="액자 12">
          <a:extLst>
            <a:ext uri="{FF2B5EF4-FFF2-40B4-BE49-F238E27FC236}">
              <a16:creationId xmlns:a16="http://schemas.microsoft.com/office/drawing/2014/main" id="{5FAE2BB2-307C-4E31-8065-1DB80D1A4626}"/>
            </a:ext>
          </a:extLst>
        </xdr:cNvPr>
        <xdr:cNvSpPr/>
      </xdr:nvSpPr>
      <xdr:spPr bwMode="auto">
        <a:xfrm>
          <a:off x="4606670" y="5721259"/>
          <a:ext cx="1704611" cy="1012916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38100</xdr:colOff>
      <xdr:row>29</xdr:row>
      <xdr:rowOff>18756</xdr:rowOff>
    </xdr:from>
    <xdr:to>
      <xdr:col>8</xdr:col>
      <xdr:colOff>816597</xdr:colOff>
      <xdr:row>33</xdr:row>
      <xdr:rowOff>0</xdr:rowOff>
    </xdr:to>
    <xdr:sp macro="" textlink="">
      <xdr:nvSpPr>
        <xdr:cNvPr id="14" name="액자 13">
          <a:extLst>
            <a:ext uri="{FF2B5EF4-FFF2-40B4-BE49-F238E27FC236}">
              <a16:creationId xmlns:a16="http://schemas.microsoft.com/office/drawing/2014/main" id="{4FE652CC-BDF1-48F5-88DC-0D8DF1C41BE9}"/>
            </a:ext>
          </a:extLst>
        </xdr:cNvPr>
        <xdr:cNvSpPr/>
      </xdr:nvSpPr>
      <xdr:spPr bwMode="auto">
        <a:xfrm>
          <a:off x="6610350" y="5914731"/>
          <a:ext cx="778497" cy="81944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8</xdr:col>
      <xdr:colOff>58705</xdr:colOff>
      <xdr:row>27</xdr:row>
      <xdr:rowOff>196621</xdr:rowOff>
    </xdr:from>
    <xdr:to>
      <xdr:col>8</xdr:col>
      <xdr:colOff>809625</xdr:colOff>
      <xdr:row>28</xdr:row>
      <xdr:rowOff>200025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A79D9EC-3A74-4992-9ADD-9555E1F933C6}"/>
            </a:ext>
          </a:extLst>
        </xdr:cNvPr>
        <xdr:cNvSpPr txBox="1"/>
      </xdr:nvSpPr>
      <xdr:spPr>
        <a:xfrm>
          <a:off x="6630955" y="5673496"/>
          <a:ext cx="750920" cy="2129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상태</a:t>
          </a:r>
        </a:p>
      </xdr:txBody>
    </xdr:sp>
    <xdr:clientData/>
  </xdr:twoCellAnchor>
  <xdr:twoCellAnchor>
    <xdr:from>
      <xdr:col>5</xdr:col>
      <xdr:colOff>238125</xdr:colOff>
      <xdr:row>31</xdr:row>
      <xdr:rowOff>9525</xdr:rowOff>
    </xdr:from>
    <xdr:to>
      <xdr:col>7</xdr:col>
      <xdr:colOff>542323</xdr:colOff>
      <xdr:row>32</xdr:row>
      <xdr:rowOff>171450</xdr:rowOff>
    </xdr:to>
    <xdr:sp macro="" textlink="">
      <xdr:nvSpPr>
        <xdr:cNvPr id="16" name="액자 15">
          <a:extLst>
            <a:ext uri="{FF2B5EF4-FFF2-40B4-BE49-F238E27FC236}">
              <a16:creationId xmlns:a16="http://schemas.microsoft.com/office/drawing/2014/main" id="{314D6F5E-A291-4714-917E-F2556E71F8B6}"/>
            </a:ext>
          </a:extLst>
        </xdr:cNvPr>
        <xdr:cNvSpPr/>
      </xdr:nvSpPr>
      <xdr:spPr bwMode="auto">
        <a:xfrm>
          <a:off x="4667250" y="6324600"/>
          <a:ext cx="1590073" cy="371475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5</xdr:col>
      <xdr:colOff>238125</xdr:colOff>
      <xdr:row>28</xdr:row>
      <xdr:rowOff>98767</xdr:rowOff>
    </xdr:from>
    <xdr:to>
      <xdr:col>7</xdr:col>
      <xdr:colOff>542323</xdr:colOff>
      <xdr:row>30</xdr:row>
      <xdr:rowOff>128715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204C7728-3346-498C-A101-0B3A342EB638}"/>
            </a:ext>
          </a:extLst>
        </xdr:cNvPr>
        <xdr:cNvSpPr/>
      </xdr:nvSpPr>
      <xdr:spPr bwMode="auto">
        <a:xfrm>
          <a:off x="4667250" y="5785192"/>
          <a:ext cx="1590073" cy="449048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twoCellAnchor>
    <xdr:from>
      <xdr:col>6</xdr:col>
      <xdr:colOff>7950</xdr:colOff>
      <xdr:row>27</xdr:row>
      <xdr:rowOff>16600</xdr:rowOff>
    </xdr:from>
    <xdr:to>
      <xdr:col>7</xdr:col>
      <xdr:colOff>187056</xdr:colOff>
      <xdr:row>28</xdr:row>
      <xdr:rowOff>2585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965FD54-1111-4843-BE2A-1B935FD3DF36}"/>
            </a:ext>
          </a:extLst>
        </xdr:cNvPr>
        <xdr:cNvSpPr txBox="1"/>
      </xdr:nvSpPr>
      <xdr:spPr>
        <a:xfrm>
          <a:off x="5046675" y="5493475"/>
          <a:ext cx="855381" cy="195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b="1"/>
            <a:t>부주의 행동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1495425</xdr:colOff>
          <xdr:row>22</xdr:row>
          <xdr:rowOff>114300</xdr:rowOff>
        </xdr:from>
        <xdr:to>
          <xdr:col>2</xdr:col>
          <xdr:colOff>95250</xdr:colOff>
          <xdr:row>31</xdr:row>
          <xdr:rowOff>95250</xdr:rowOff>
        </xdr:to>
        <xdr:grpSp>
          <xdr:nvGrpSpPr>
            <xdr:cNvPr id="19" name="그룹 8">
              <a:extLst>
                <a:ext uri="{FF2B5EF4-FFF2-40B4-BE49-F238E27FC236}">
                  <a16:creationId xmlns:a16="http://schemas.microsoft.com/office/drawing/2014/main" id="{21BCD690-E250-485E-864B-446C204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94817" y="4568757"/>
              <a:ext cx="1078149" cy="1819073"/>
              <a:chOff x="903513" y="4495523"/>
              <a:chExt cx="1122959" cy="1545361"/>
            </a:xfrm>
          </xdr:grpSpPr>
          <xdr:sp macro="" textlink="">
            <xdr:nvSpPr>
              <xdr:cNvPr id="29731" name="Check Box 35" hidden="1">
                <a:extLst>
                  <a:ext uri="{63B3BB69-23CF-44E3-9099-C40C66FF867C}">
                    <a14:compatExt spid="_x0000_s29731"/>
                  </a:ext>
                  <a:ext uri="{FF2B5EF4-FFF2-40B4-BE49-F238E27FC236}">
                    <a16:creationId xmlns:a16="http://schemas.microsoft.com/office/drawing/2014/main" id="{00000000-0008-0000-0900-000023140000}"/>
                  </a:ext>
                </a:extLst>
              </xdr:cNvPr>
              <xdr:cNvSpPr/>
            </xdr:nvSpPr>
            <xdr:spPr bwMode="auto">
              <a:xfrm>
                <a:off x="903513" y="5580150"/>
                <a:ext cx="859643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절단/찰과상</a:t>
                </a:r>
              </a:p>
            </xdr:txBody>
          </xdr:sp>
          <xdr:sp macro="" textlink="">
            <xdr:nvSpPr>
              <xdr:cNvPr id="29732" name="Check Box 36" hidden="1">
                <a:extLst>
                  <a:ext uri="{63B3BB69-23CF-44E3-9099-C40C66FF867C}">
                    <a14:compatExt spid="_x0000_s29732"/>
                  </a:ext>
                  <a:ext uri="{FF2B5EF4-FFF2-40B4-BE49-F238E27FC236}">
                    <a16:creationId xmlns:a16="http://schemas.microsoft.com/office/drawing/2014/main" id="{00000000-0008-0000-0900-000024140000}"/>
                  </a:ext>
                </a:extLst>
              </xdr:cNvPr>
              <xdr:cNvSpPr/>
            </xdr:nvSpPr>
            <xdr:spPr bwMode="auto">
              <a:xfrm>
                <a:off x="903513" y="5756514"/>
                <a:ext cx="709414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분류 불능</a:t>
                </a:r>
              </a:p>
            </xdr:txBody>
          </xdr:sp>
          <xdr:sp macro="" textlink="">
            <xdr:nvSpPr>
              <xdr:cNvPr id="29733" name="Check Box 37" hidden="1">
                <a:extLst>
                  <a:ext uri="{63B3BB69-23CF-44E3-9099-C40C66FF867C}">
                    <a14:compatExt spid="_x0000_s29733"/>
                  </a:ext>
                  <a:ext uri="{FF2B5EF4-FFF2-40B4-BE49-F238E27FC236}">
                    <a16:creationId xmlns:a16="http://schemas.microsoft.com/office/drawing/2014/main" id="{00000000-0008-0000-0900-000025140000}"/>
                  </a:ext>
                </a:extLst>
              </xdr:cNvPr>
              <xdr:cNvSpPr/>
            </xdr:nvSpPr>
            <xdr:spPr bwMode="auto">
              <a:xfrm>
                <a:off x="903513" y="4495523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화상/동상</a:t>
                </a:r>
              </a:p>
            </xdr:txBody>
          </xdr:sp>
          <xdr:sp macro="" textlink="">
            <xdr:nvSpPr>
              <xdr:cNvPr id="29734" name="Check Box 38" hidden="1">
                <a:extLst>
                  <a:ext uri="{63B3BB69-23CF-44E3-9099-C40C66FF867C}">
                    <a14:compatExt spid="_x0000_s29734"/>
                  </a:ext>
                  <a:ext uri="{FF2B5EF4-FFF2-40B4-BE49-F238E27FC236}">
                    <a16:creationId xmlns:a16="http://schemas.microsoft.com/office/drawing/2014/main" id="{00000000-0008-0000-0900-000026140000}"/>
                  </a:ext>
                </a:extLst>
              </xdr:cNvPr>
              <xdr:cNvSpPr/>
            </xdr:nvSpPr>
            <xdr:spPr bwMode="auto">
              <a:xfrm>
                <a:off x="903513" y="4671891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기타</a:t>
                </a:r>
              </a:p>
            </xdr:txBody>
          </xdr:sp>
          <xdr:sp macro="" textlink="">
            <xdr:nvSpPr>
              <xdr:cNvPr id="29735" name="Check Box 39" hidden="1">
                <a:extLst>
                  <a:ext uri="{63B3BB69-23CF-44E3-9099-C40C66FF867C}">
                    <a14:compatExt spid="_x0000_s29735"/>
                  </a:ext>
                  <a:ext uri="{FF2B5EF4-FFF2-40B4-BE49-F238E27FC236}">
                    <a16:creationId xmlns:a16="http://schemas.microsoft.com/office/drawing/2014/main" id="{00000000-0008-0000-0900-000027140000}"/>
                  </a:ext>
                </a:extLst>
              </xdr:cNvPr>
              <xdr:cNvSpPr/>
            </xdr:nvSpPr>
            <xdr:spPr bwMode="auto">
              <a:xfrm>
                <a:off x="903513" y="4848255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설비 사고</a:t>
                </a:r>
              </a:p>
            </xdr:txBody>
          </xdr:sp>
          <xdr:sp macro="" textlink="">
            <xdr:nvSpPr>
              <xdr:cNvPr id="29736" name="Check Box 40" hidden="1">
                <a:extLst>
                  <a:ext uri="{63B3BB69-23CF-44E3-9099-C40C66FF867C}">
                    <a14:compatExt spid="_x0000_s29736"/>
                  </a:ext>
                  <a:ext uri="{FF2B5EF4-FFF2-40B4-BE49-F238E27FC236}">
                    <a16:creationId xmlns:a16="http://schemas.microsoft.com/office/drawing/2014/main" id="{00000000-0008-0000-0900-000028140000}"/>
                  </a:ext>
                </a:extLst>
              </xdr:cNvPr>
              <xdr:cNvSpPr/>
            </xdr:nvSpPr>
            <xdr:spPr bwMode="auto">
              <a:xfrm>
                <a:off x="903513" y="5024619"/>
                <a:ext cx="1122959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유해물질 접촉</a:t>
                </a:r>
              </a:p>
            </xdr:txBody>
          </xdr:sp>
          <xdr:sp macro="" textlink="">
            <xdr:nvSpPr>
              <xdr:cNvPr id="29737" name="Check Box 41" hidden="1">
                <a:extLst>
                  <a:ext uri="{63B3BB69-23CF-44E3-9099-C40C66FF867C}">
                    <a14:compatExt spid="_x0000_s29737"/>
                  </a:ext>
                  <a:ext uri="{FF2B5EF4-FFF2-40B4-BE49-F238E27FC236}">
                    <a16:creationId xmlns:a16="http://schemas.microsoft.com/office/drawing/2014/main" id="{00000000-0008-0000-0900-000029140000}"/>
                  </a:ext>
                </a:extLst>
              </xdr:cNvPr>
              <xdr:cNvSpPr/>
            </xdr:nvSpPr>
            <xdr:spPr bwMode="auto">
              <a:xfrm>
                <a:off x="903513" y="5200983"/>
                <a:ext cx="1008020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화재/폭발</a:t>
                </a:r>
              </a:p>
            </xdr:txBody>
          </xdr:sp>
          <xdr:sp macro="" textlink="">
            <xdr:nvSpPr>
              <xdr:cNvPr id="29738" name="Check Box 42" hidden="1">
                <a:extLst>
                  <a:ext uri="{63B3BB69-23CF-44E3-9099-C40C66FF867C}">
                    <a14:compatExt spid="_x0000_s29738"/>
                  </a:ext>
                  <a:ext uri="{FF2B5EF4-FFF2-40B4-BE49-F238E27FC236}">
                    <a16:creationId xmlns:a16="http://schemas.microsoft.com/office/drawing/2014/main" id="{00000000-0008-0000-0900-00002A140000}"/>
                  </a:ext>
                </a:extLst>
              </xdr:cNvPr>
              <xdr:cNvSpPr/>
            </xdr:nvSpPr>
            <xdr:spPr bwMode="auto">
              <a:xfrm>
                <a:off x="903513" y="5377347"/>
                <a:ext cx="1003665" cy="1344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익사</a:t>
                </a:r>
              </a:p>
            </xdr:txBody>
          </xdr:sp>
          <xdr:sp macro="" textlink="">
            <xdr:nvSpPr>
              <xdr:cNvPr id="29739" name="Check Box 43" hidden="1">
                <a:extLst>
                  <a:ext uri="{63B3BB69-23CF-44E3-9099-C40C66FF867C}">
                    <a14:compatExt spid="_x0000_s29739"/>
                  </a:ext>
                  <a:ext uri="{FF2B5EF4-FFF2-40B4-BE49-F238E27FC236}">
                    <a16:creationId xmlns:a16="http://schemas.microsoft.com/office/drawing/2014/main" id="{00000000-0008-0000-0900-00002B140000}"/>
                  </a:ext>
                </a:extLst>
              </xdr:cNvPr>
              <xdr:cNvSpPr/>
            </xdr:nvSpPr>
            <xdr:spPr bwMode="auto">
              <a:xfrm>
                <a:off x="903513" y="5932884"/>
                <a:ext cx="752407" cy="108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차량사고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22</xdr:row>
          <xdr:rowOff>114300</xdr:rowOff>
        </xdr:from>
        <xdr:to>
          <xdr:col>0</xdr:col>
          <xdr:colOff>1390650</xdr:colOff>
          <xdr:row>31</xdr:row>
          <xdr:rowOff>95250</xdr:rowOff>
        </xdr:to>
        <xdr:grpSp>
          <xdr:nvGrpSpPr>
            <xdr:cNvPr id="20" name="그룹 4">
              <a:extLst>
                <a:ext uri="{FF2B5EF4-FFF2-40B4-BE49-F238E27FC236}">
                  <a16:creationId xmlns:a16="http://schemas.microsoft.com/office/drawing/2014/main" id="{25E997DE-CCDB-4B9C-8E73-98C863BDD49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0145" y="4568757"/>
              <a:ext cx="800910" cy="1819073"/>
              <a:chOff x="1676400" y="4286247"/>
              <a:chExt cx="800100" cy="1514491"/>
            </a:xfrm>
          </xdr:grpSpPr>
          <xdr:sp macro="" textlink="">
            <xdr:nvSpPr>
              <xdr:cNvPr id="29740" name="Check Box 44" hidden="1">
                <a:extLst>
                  <a:ext uri="{63B3BB69-23CF-44E3-9099-C40C66FF867C}">
                    <a14:compatExt spid="_x0000_s29740"/>
                  </a:ext>
                  <a:ext uri="{FF2B5EF4-FFF2-40B4-BE49-F238E27FC236}">
                    <a16:creationId xmlns:a16="http://schemas.microsoft.com/office/drawing/2014/main" id="{00000000-0008-0000-0900-00002C140000}"/>
                  </a:ext>
                </a:extLst>
              </xdr:cNvPr>
              <xdr:cNvSpPr/>
            </xdr:nvSpPr>
            <xdr:spPr bwMode="auto">
              <a:xfrm>
                <a:off x="1676400" y="5349200"/>
                <a:ext cx="612489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협착</a:t>
                </a:r>
              </a:p>
            </xdr:txBody>
          </xdr:sp>
          <xdr:sp macro="" textlink="">
            <xdr:nvSpPr>
              <xdr:cNvPr id="29741" name="Check Box 45" hidden="1">
                <a:extLst>
                  <a:ext uri="{63B3BB69-23CF-44E3-9099-C40C66FF867C}">
                    <a14:compatExt spid="_x0000_s29741"/>
                  </a:ext>
                  <a:ext uri="{FF2B5EF4-FFF2-40B4-BE49-F238E27FC236}">
                    <a16:creationId xmlns:a16="http://schemas.microsoft.com/office/drawing/2014/main" id="{00000000-0008-0000-0900-00002D140000}"/>
                  </a:ext>
                </a:extLst>
              </xdr:cNvPr>
              <xdr:cNvSpPr/>
            </xdr:nvSpPr>
            <xdr:spPr bwMode="auto">
              <a:xfrm>
                <a:off x="1676400" y="5522039"/>
                <a:ext cx="505452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감전</a:t>
                </a:r>
              </a:p>
            </xdr:txBody>
          </xdr:sp>
          <xdr:sp macro="" textlink="">
            <xdr:nvSpPr>
              <xdr:cNvPr id="29742" name="Check Box 46" descr="추락" hidden="1">
                <a:extLst>
                  <a:ext uri="{63B3BB69-23CF-44E3-9099-C40C66FF867C}">
                    <a14:compatExt spid="_x0000_s29742"/>
                  </a:ext>
                  <a:ext uri="{FF2B5EF4-FFF2-40B4-BE49-F238E27FC236}">
                    <a16:creationId xmlns:a16="http://schemas.microsoft.com/office/drawing/2014/main" id="{00000000-0008-0000-0900-00002E140000}"/>
                  </a:ext>
                </a:extLst>
              </xdr:cNvPr>
              <xdr:cNvSpPr/>
            </xdr:nvSpPr>
            <xdr:spPr bwMode="auto">
              <a:xfrm>
                <a:off x="1676400" y="4286247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추락</a:t>
                </a:r>
              </a:p>
            </xdr:txBody>
          </xdr:sp>
          <xdr:sp macro="" textlink="">
            <xdr:nvSpPr>
              <xdr:cNvPr id="29743" name="Check Box 47" hidden="1">
                <a:extLst>
                  <a:ext uri="{63B3BB69-23CF-44E3-9099-C40C66FF867C}">
                    <a14:compatExt spid="_x0000_s29743"/>
                  </a:ext>
                  <a:ext uri="{FF2B5EF4-FFF2-40B4-BE49-F238E27FC236}">
                    <a16:creationId xmlns:a16="http://schemas.microsoft.com/office/drawing/2014/main" id="{00000000-0008-0000-0900-00002F140000}"/>
                  </a:ext>
                </a:extLst>
              </xdr:cNvPr>
              <xdr:cNvSpPr/>
            </xdr:nvSpPr>
            <xdr:spPr bwMode="auto">
              <a:xfrm>
                <a:off x="1676400" y="445909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전도</a:t>
                </a:r>
              </a:p>
            </xdr:txBody>
          </xdr:sp>
          <xdr:sp macro="" textlink="">
            <xdr:nvSpPr>
              <xdr:cNvPr id="29744" name="Check Box 48" hidden="1">
                <a:extLst>
                  <a:ext uri="{63B3BB69-23CF-44E3-9099-C40C66FF867C}">
                    <a14:compatExt spid="_x0000_s29744"/>
                  </a:ext>
                  <a:ext uri="{FF2B5EF4-FFF2-40B4-BE49-F238E27FC236}">
                    <a16:creationId xmlns:a16="http://schemas.microsoft.com/office/drawing/2014/main" id="{00000000-0008-0000-0900-000030140000}"/>
                  </a:ext>
                </a:extLst>
              </xdr:cNvPr>
              <xdr:cNvSpPr/>
            </xdr:nvSpPr>
            <xdr:spPr bwMode="auto">
              <a:xfrm>
                <a:off x="1676400" y="4631930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충돌</a:t>
                </a:r>
              </a:p>
            </xdr:txBody>
          </xdr:sp>
          <xdr:sp macro="" textlink="">
            <xdr:nvSpPr>
              <xdr:cNvPr id="29745" name="Check Box 49" hidden="1">
                <a:extLst>
                  <a:ext uri="{63B3BB69-23CF-44E3-9099-C40C66FF867C}">
                    <a14:compatExt spid="_x0000_s29745"/>
                  </a:ext>
                  <a:ext uri="{FF2B5EF4-FFF2-40B4-BE49-F238E27FC236}">
                    <a16:creationId xmlns:a16="http://schemas.microsoft.com/office/drawing/2014/main" id="{00000000-0008-0000-0900-000031140000}"/>
                  </a:ext>
                </a:extLst>
              </xdr:cNvPr>
              <xdr:cNvSpPr/>
            </xdr:nvSpPr>
            <xdr:spPr bwMode="auto">
              <a:xfrm>
                <a:off x="1676400" y="4804769"/>
                <a:ext cx="800100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낙하</a:t>
                </a:r>
              </a:p>
            </xdr:txBody>
          </xdr:sp>
          <xdr:sp macro="" textlink="">
            <xdr:nvSpPr>
              <xdr:cNvPr id="29746" name="Check Box 50" hidden="1">
                <a:extLst>
                  <a:ext uri="{63B3BB69-23CF-44E3-9099-C40C66FF867C}">
                    <a14:compatExt spid="_x0000_s29746"/>
                  </a:ext>
                  <a:ext uri="{FF2B5EF4-FFF2-40B4-BE49-F238E27FC236}">
                    <a16:creationId xmlns:a16="http://schemas.microsoft.com/office/drawing/2014/main" id="{00000000-0008-0000-0900-000032140000}"/>
                  </a:ext>
                </a:extLst>
              </xdr:cNvPr>
              <xdr:cNvSpPr/>
            </xdr:nvSpPr>
            <xdr:spPr bwMode="auto">
              <a:xfrm>
                <a:off x="1676400" y="4977609"/>
                <a:ext cx="718206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비래</a:t>
                </a:r>
              </a:p>
            </xdr:txBody>
          </xdr:sp>
          <xdr:sp macro="" textlink="">
            <xdr:nvSpPr>
              <xdr:cNvPr id="29747" name="Check Box 51" hidden="1">
                <a:extLst>
                  <a:ext uri="{63B3BB69-23CF-44E3-9099-C40C66FF867C}">
                    <a14:compatExt spid="_x0000_s29747"/>
                  </a:ext>
                  <a:ext uri="{FF2B5EF4-FFF2-40B4-BE49-F238E27FC236}">
                    <a16:creationId xmlns:a16="http://schemas.microsoft.com/office/drawing/2014/main" id="{00000000-0008-0000-0900-000033140000}"/>
                  </a:ext>
                </a:extLst>
              </xdr:cNvPr>
              <xdr:cNvSpPr/>
            </xdr:nvSpPr>
            <xdr:spPr bwMode="auto">
              <a:xfrm>
                <a:off x="1676400" y="5150449"/>
                <a:ext cx="715104" cy="13175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붕괴(묻힘)</a:t>
                </a:r>
              </a:p>
            </xdr:txBody>
          </xdr:sp>
          <xdr:sp macro="" textlink="">
            <xdr:nvSpPr>
              <xdr:cNvPr id="29748" name="Check Box 52" hidden="1">
                <a:extLst>
                  <a:ext uri="{63B3BB69-23CF-44E3-9099-C40C66FF867C}">
                    <a14:compatExt spid="_x0000_s29748"/>
                  </a:ext>
                  <a:ext uri="{FF2B5EF4-FFF2-40B4-BE49-F238E27FC236}">
                    <a16:creationId xmlns:a16="http://schemas.microsoft.com/office/drawing/2014/main" id="{00000000-0008-0000-0900-000034140000}"/>
                  </a:ext>
                </a:extLst>
              </xdr:cNvPr>
              <xdr:cNvSpPr/>
            </xdr:nvSpPr>
            <xdr:spPr bwMode="auto">
              <a:xfrm>
                <a:off x="1676400" y="5694896"/>
                <a:ext cx="536084" cy="105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 요통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2</xdr:col>
      <xdr:colOff>333375</xdr:colOff>
      <xdr:row>23</xdr:row>
      <xdr:rowOff>133350</xdr:rowOff>
    </xdr:from>
    <xdr:to>
      <xdr:col>2</xdr:col>
      <xdr:colOff>504825</xdr:colOff>
      <xdr:row>24</xdr:row>
      <xdr:rowOff>47625</xdr:rowOff>
    </xdr:to>
    <xdr:sp macro="" textlink="">
      <xdr:nvSpPr>
        <xdr:cNvPr id="21" name="오른쪽 화살표 72">
          <a:extLst>
            <a:ext uri="{FF2B5EF4-FFF2-40B4-BE49-F238E27FC236}">
              <a16:creationId xmlns:a16="http://schemas.microsoft.com/office/drawing/2014/main" id="{E7B9677F-246F-4E8F-BA49-47423C3414B7}"/>
            </a:ext>
          </a:extLst>
        </xdr:cNvPr>
        <xdr:cNvSpPr>
          <a:spLocks noChangeArrowheads="1"/>
        </xdr:cNvSpPr>
      </xdr:nvSpPr>
      <xdr:spPr bwMode="auto">
        <a:xfrm rot="-1831606">
          <a:off x="2809875" y="4810125"/>
          <a:ext cx="171450" cy="114300"/>
        </a:xfrm>
        <a:prstGeom prst="rightArrow">
          <a:avLst>
            <a:gd name="adj1" fmla="val 50000"/>
            <a:gd name="adj2" fmla="val 51694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27</xdr:row>
      <xdr:rowOff>95250</xdr:rowOff>
    </xdr:from>
    <xdr:to>
      <xdr:col>2</xdr:col>
      <xdr:colOff>504825</xdr:colOff>
      <xdr:row>27</xdr:row>
      <xdr:rowOff>209550</xdr:rowOff>
    </xdr:to>
    <xdr:sp macro="" textlink="">
      <xdr:nvSpPr>
        <xdr:cNvPr id="22" name="오른쪽 화살표 72">
          <a:extLst>
            <a:ext uri="{FF2B5EF4-FFF2-40B4-BE49-F238E27FC236}">
              <a16:creationId xmlns:a16="http://schemas.microsoft.com/office/drawing/2014/main" id="{AF727018-2905-4AC9-B773-D828EE957A7D}"/>
            </a:ext>
          </a:extLst>
        </xdr:cNvPr>
        <xdr:cNvSpPr>
          <a:spLocks noChangeArrowheads="1"/>
        </xdr:cNvSpPr>
      </xdr:nvSpPr>
      <xdr:spPr bwMode="auto">
        <a:xfrm rot="2161001">
          <a:off x="2809875" y="5572125"/>
          <a:ext cx="171450" cy="114300"/>
        </a:xfrm>
        <a:prstGeom prst="rightArrow">
          <a:avLst>
            <a:gd name="adj1" fmla="val 50000"/>
            <a:gd name="adj2" fmla="val 51083"/>
          </a:avLst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457200</xdr:colOff>
      <xdr:row>21</xdr:row>
      <xdr:rowOff>142581</xdr:rowOff>
    </xdr:from>
    <xdr:to>
      <xdr:col>2</xdr:col>
      <xdr:colOff>76200</xdr:colOff>
      <xdr:row>31</xdr:row>
      <xdr:rowOff>200025</xdr:rowOff>
    </xdr:to>
    <xdr:sp macro="" textlink="">
      <xdr:nvSpPr>
        <xdr:cNvPr id="23" name="액자 22">
          <a:extLst>
            <a:ext uri="{FF2B5EF4-FFF2-40B4-BE49-F238E27FC236}">
              <a16:creationId xmlns:a16="http://schemas.microsoft.com/office/drawing/2014/main" id="{2A323C3E-C471-469B-BCF9-269442E2CE65}"/>
            </a:ext>
          </a:extLst>
        </xdr:cNvPr>
        <xdr:cNvSpPr/>
      </xdr:nvSpPr>
      <xdr:spPr bwMode="auto">
        <a:xfrm>
          <a:off x="457200" y="4419306"/>
          <a:ext cx="2095500" cy="2095794"/>
        </a:xfrm>
        <a:prstGeom prst="frame">
          <a:avLst>
            <a:gd name="adj1" fmla="val 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endParaRPr lang="ko-KR" altLang="en-US"/>
        </a:p>
      </xdr:txBody>
    </xdr:sp>
    <xdr:clientData/>
  </xdr:twoCellAnchor>
  <xdr:oneCellAnchor>
    <xdr:from>
      <xdr:col>3</xdr:col>
      <xdr:colOff>47625</xdr:colOff>
      <xdr:row>17</xdr:row>
      <xdr:rowOff>9525</xdr:rowOff>
    </xdr:from>
    <xdr:ext cx="219075" cy="198783"/>
    <xdr:pic>
      <xdr:nvPicPr>
        <xdr:cNvPr id="24" name="그림 85">
          <a:extLst>
            <a:ext uri="{FF2B5EF4-FFF2-40B4-BE49-F238E27FC236}">
              <a16:creationId xmlns:a16="http://schemas.microsoft.com/office/drawing/2014/main" id="{A4D30629-5409-45C1-A177-04D7ADCE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86150"/>
          <a:ext cx="219075" cy="1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47625</xdr:colOff>
      <xdr:row>25</xdr:row>
      <xdr:rowOff>190500</xdr:rowOff>
    </xdr:from>
    <xdr:ext cx="219075" cy="216591"/>
    <xdr:pic>
      <xdr:nvPicPr>
        <xdr:cNvPr id="25" name="그림 86">
          <a:extLst>
            <a:ext uri="{FF2B5EF4-FFF2-40B4-BE49-F238E27FC236}">
              <a16:creationId xmlns:a16="http://schemas.microsoft.com/office/drawing/2014/main" id="{42013360-A682-46BA-AAE3-ABB98E3F8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267325"/>
          <a:ext cx="219075" cy="216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1057274</xdr:colOff>
      <xdr:row>17</xdr:row>
      <xdr:rowOff>9524</xdr:rowOff>
    </xdr:from>
    <xdr:to>
      <xdr:col>0</xdr:col>
      <xdr:colOff>1257300</xdr:colOff>
      <xdr:row>17</xdr:row>
      <xdr:rowOff>190499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AA191D8C-C854-4386-B1C8-5EE3002F7384}"/>
            </a:ext>
          </a:extLst>
        </xdr:cNvPr>
        <xdr:cNvSpPr/>
      </xdr:nvSpPr>
      <xdr:spPr bwMode="auto">
        <a:xfrm>
          <a:off x="1057274" y="3486149"/>
          <a:ext cx="200026" cy="180975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ko-KR" sz="1600"/>
            <a:t>1</a:t>
          </a:r>
          <a:endParaRPr lang="ko-KR" altLang="en-US" sz="1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&#51228;&#50504;&#51648;&#528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`98지침"/>
      <sheetName val="`99.9지침 "/>
      <sheetName val="99.9제안흐름"/>
      <sheetName val="표지목차"/>
      <sheetName val="제안흐름도"/>
      <sheetName val="`97지침"/>
      <sheetName val="신흐름도"/>
      <sheetName val="FLOW"/>
      <sheetName val="효과산출"/>
      <sheetName val="INCENTIVE"/>
      <sheetName val="제안양식(앞면)"/>
      <sheetName val="제안양식(뒷면)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8110D85-5FDC-4042-91DC-B224711544B1}" autoFormatId="16" applyNumberFormats="0" applyBorderFormats="0" applyFontFormats="0" applyPatternFormats="0" applyAlignmentFormats="0" applyWidthHeightFormats="0">
  <queryTableRefresh nextId="24">
    <queryTableFields count="14">
      <queryTableField id="1" name="보고서ID" tableColumnId="1"/>
      <queryTableField id="11" name="작성자명" tableColumnId="11"/>
      <queryTableField id="2" name="제목" tableColumnId="2"/>
      <queryTableField id="3" name="발생일시" tableColumnId="3"/>
      <queryTableField id="4" name="발생장소" tableColumnId="4"/>
      <queryTableField id="7" name="내용" tableColumnId="7"/>
      <queryTableField id="8" name="원인" tableColumnId="8"/>
      <queryTableField id="6" name="사고유형" tableColumnId="6"/>
      <queryTableField id="14" name="불안전한 상태" tableColumnId="13"/>
      <queryTableField id="15" name="불안전한 행동" tableColumnId="14"/>
      <queryTableField id="16" name="부주의한 행동" tableColumnId="15"/>
      <queryTableField id="17" name="부주의한 상태" tableColumnId="16"/>
      <queryTableField id="9" name="즉시조치" tableColumnId="9"/>
      <queryTableField id="10" name="재발방지대책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3CEC95-A237-4E06-B026-1D341D879F25}" name="near_miss_excel_view__2" displayName="near_miss_excel_view__2" ref="A1:N69" tableType="queryTable" totalsRowShown="0" headerRowDxfId="14">
  <autoFilter ref="A1:N69" xr:uid="{AD3CEC95-A237-4E06-B026-1D341D879F25}"/>
  <sortState xmlns:xlrd2="http://schemas.microsoft.com/office/spreadsheetml/2017/richdata2" ref="A2:N69">
    <sortCondition ref="D2:D69"/>
  </sortState>
  <tableColumns count="14">
    <tableColumn id="1" xr3:uid="{B33A53A1-6B75-4667-B075-566417E7B06B}" uniqueName="1" name="보고서ID" queryTableFieldId="1" dataDxfId="13"/>
    <tableColumn id="11" xr3:uid="{FA7ECF0F-9DD7-4B7C-ABD1-247C9481D776}" uniqueName="11" name="작성자명" queryTableFieldId="11" dataDxfId="12"/>
    <tableColumn id="2" xr3:uid="{BB9CACAF-AE6F-4D4D-9485-990D7B5E16F7}" uniqueName="2" name="제목" queryTableFieldId="2" dataDxfId="11"/>
    <tableColumn id="3" xr3:uid="{BFAD78E3-265E-486B-8867-5A44F35E00FF}" uniqueName="3" name="발생일시" queryTableFieldId="3" dataDxfId="10"/>
    <tableColumn id="4" xr3:uid="{0B5AB554-C8A6-40C3-BDC6-45BFB3A8E5CA}" uniqueName="4" name="발생장소" queryTableFieldId="4" dataDxfId="9"/>
    <tableColumn id="7" xr3:uid="{938F9B43-2E34-411B-8C33-17E330604BC5}" uniqueName="7" name="내용" queryTableFieldId="7" dataDxfId="8"/>
    <tableColumn id="8" xr3:uid="{A47FE710-4D11-4657-A206-7F6BD43F527C}" uniqueName="8" name="원인" queryTableFieldId="8" dataDxfId="7"/>
    <tableColumn id="6" xr3:uid="{0EC3BEA2-DC8E-4BE4-B635-414CE55C681B}" uniqueName="6" name="사고유형" queryTableFieldId="6" dataDxfId="6"/>
    <tableColumn id="13" xr3:uid="{C7451BF5-29CD-42E9-9EE7-CBAAB9D5118E}" uniqueName="13" name="불안전한 상태" queryTableFieldId="14" dataDxfId="5"/>
    <tableColumn id="14" xr3:uid="{238226C0-AEA3-45DE-86FB-F46919CBAA2D}" uniqueName="14" name="불안전한 행동" queryTableFieldId="15" dataDxfId="4"/>
    <tableColumn id="15" xr3:uid="{E9D9507E-17AF-4009-A98F-518DBAE97228}" uniqueName="15" name="부주의한 행동" queryTableFieldId="16" dataDxfId="3"/>
    <tableColumn id="16" xr3:uid="{9CBD65ED-D8DF-48D4-9669-AFF00BC23A4B}" uniqueName="16" name="부주의한 상태" queryTableFieldId="17" dataDxfId="2"/>
    <tableColumn id="9" xr3:uid="{0A2E0D7A-060B-4DD1-90F1-742AE7384E1D}" uniqueName="9" name="즉시조치" queryTableFieldId="9" dataDxfId="1"/>
    <tableColumn id="10" xr3:uid="{1D9631AB-8F6A-415B-8C9B-7C1F10E3BE87}" uniqueName="10" name="재발방지대책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2.xml"/><Relationship Id="rId18" Type="http://schemas.openxmlformats.org/officeDocument/2006/relationships/ctrlProp" Target="../ctrlProps/ctrlProp67.xml"/><Relationship Id="rId26" Type="http://schemas.openxmlformats.org/officeDocument/2006/relationships/ctrlProp" Target="../ctrlProps/ctrlProp75.xml"/><Relationship Id="rId39" Type="http://schemas.openxmlformats.org/officeDocument/2006/relationships/ctrlProp" Target="../ctrlProps/ctrlProp88.xml"/><Relationship Id="rId21" Type="http://schemas.openxmlformats.org/officeDocument/2006/relationships/ctrlProp" Target="../ctrlProps/ctrlProp70.xml"/><Relationship Id="rId34" Type="http://schemas.openxmlformats.org/officeDocument/2006/relationships/ctrlProp" Target="../ctrlProps/ctrlProp83.xml"/><Relationship Id="rId42" Type="http://schemas.openxmlformats.org/officeDocument/2006/relationships/ctrlProp" Target="../ctrlProps/ctrlProp91.xml"/><Relationship Id="rId47" Type="http://schemas.openxmlformats.org/officeDocument/2006/relationships/ctrlProp" Target="../ctrlProps/ctrlProp96.xml"/><Relationship Id="rId50" Type="http://schemas.openxmlformats.org/officeDocument/2006/relationships/ctrlProp" Target="../ctrlProps/ctrlProp99.xml"/><Relationship Id="rId55" Type="http://schemas.openxmlformats.org/officeDocument/2006/relationships/ctrlProp" Target="../ctrlProps/ctrlProp104.xml"/><Relationship Id="rId7" Type="http://schemas.openxmlformats.org/officeDocument/2006/relationships/ctrlProp" Target="../ctrlProps/ctrlProp5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65.xml"/><Relationship Id="rId29" Type="http://schemas.openxmlformats.org/officeDocument/2006/relationships/ctrlProp" Target="../ctrlProps/ctrlProp78.xml"/><Relationship Id="rId11" Type="http://schemas.openxmlformats.org/officeDocument/2006/relationships/ctrlProp" Target="../ctrlProps/ctrlProp60.xml"/><Relationship Id="rId24" Type="http://schemas.openxmlformats.org/officeDocument/2006/relationships/ctrlProp" Target="../ctrlProps/ctrlProp73.xml"/><Relationship Id="rId32" Type="http://schemas.openxmlformats.org/officeDocument/2006/relationships/ctrlProp" Target="../ctrlProps/ctrlProp81.xml"/><Relationship Id="rId37" Type="http://schemas.openxmlformats.org/officeDocument/2006/relationships/ctrlProp" Target="../ctrlProps/ctrlProp86.xml"/><Relationship Id="rId40" Type="http://schemas.openxmlformats.org/officeDocument/2006/relationships/ctrlProp" Target="../ctrlProps/ctrlProp89.xml"/><Relationship Id="rId45" Type="http://schemas.openxmlformats.org/officeDocument/2006/relationships/ctrlProp" Target="../ctrlProps/ctrlProp94.xml"/><Relationship Id="rId53" Type="http://schemas.openxmlformats.org/officeDocument/2006/relationships/ctrlProp" Target="../ctrlProps/ctrlProp102.xml"/><Relationship Id="rId5" Type="http://schemas.openxmlformats.org/officeDocument/2006/relationships/ctrlProp" Target="../ctrlProps/ctrlProp54.xml"/><Relationship Id="rId10" Type="http://schemas.openxmlformats.org/officeDocument/2006/relationships/ctrlProp" Target="../ctrlProps/ctrlProp59.xml"/><Relationship Id="rId19" Type="http://schemas.openxmlformats.org/officeDocument/2006/relationships/ctrlProp" Target="../ctrlProps/ctrlProp68.xml"/><Relationship Id="rId31" Type="http://schemas.openxmlformats.org/officeDocument/2006/relationships/ctrlProp" Target="../ctrlProps/ctrlProp80.xml"/><Relationship Id="rId44" Type="http://schemas.openxmlformats.org/officeDocument/2006/relationships/ctrlProp" Target="../ctrlProps/ctrlProp93.xml"/><Relationship Id="rId52" Type="http://schemas.openxmlformats.org/officeDocument/2006/relationships/ctrlProp" Target="../ctrlProps/ctrlProp101.xml"/><Relationship Id="rId4" Type="http://schemas.openxmlformats.org/officeDocument/2006/relationships/ctrlProp" Target="../ctrlProps/ctrlProp53.xml"/><Relationship Id="rId9" Type="http://schemas.openxmlformats.org/officeDocument/2006/relationships/ctrlProp" Target="../ctrlProps/ctrlProp58.xml"/><Relationship Id="rId14" Type="http://schemas.openxmlformats.org/officeDocument/2006/relationships/ctrlProp" Target="../ctrlProps/ctrlProp63.xml"/><Relationship Id="rId22" Type="http://schemas.openxmlformats.org/officeDocument/2006/relationships/ctrlProp" Target="../ctrlProps/ctrlProp71.xml"/><Relationship Id="rId27" Type="http://schemas.openxmlformats.org/officeDocument/2006/relationships/ctrlProp" Target="../ctrlProps/ctrlProp76.xml"/><Relationship Id="rId30" Type="http://schemas.openxmlformats.org/officeDocument/2006/relationships/ctrlProp" Target="../ctrlProps/ctrlProp79.xml"/><Relationship Id="rId35" Type="http://schemas.openxmlformats.org/officeDocument/2006/relationships/ctrlProp" Target="../ctrlProps/ctrlProp84.xml"/><Relationship Id="rId43" Type="http://schemas.openxmlformats.org/officeDocument/2006/relationships/ctrlProp" Target="../ctrlProps/ctrlProp92.xml"/><Relationship Id="rId48" Type="http://schemas.openxmlformats.org/officeDocument/2006/relationships/ctrlProp" Target="../ctrlProps/ctrlProp97.xml"/><Relationship Id="rId8" Type="http://schemas.openxmlformats.org/officeDocument/2006/relationships/ctrlProp" Target="../ctrlProps/ctrlProp57.xml"/><Relationship Id="rId51" Type="http://schemas.openxmlformats.org/officeDocument/2006/relationships/ctrlProp" Target="../ctrlProps/ctrlProp100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61.xml"/><Relationship Id="rId17" Type="http://schemas.openxmlformats.org/officeDocument/2006/relationships/ctrlProp" Target="../ctrlProps/ctrlProp66.xml"/><Relationship Id="rId25" Type="http://schemas.openxmlformats.org/officeDocument/2006/relationships/ctrlProp" Target="../ctrlProps/ctrlProp74.xml"/><Relationship Id="rId33" Type="http://schemas.openxmlformats.org/officeDocument/2006/relationships/ctrlProp" Target="../ctrlProps/ctrlProp82.xml"/><Relationship Id="rId38" Type="http://schemas.openxmlformats.org/officeDocument/2006/relationships/ctrlProp" Target="../ctrlProps/ctrlProp87.xml"/><Relationship Id="rId46" Type="http://schemas.openxmlformats.org/officeDocument/2006/relationships/ctrlProp" Target="../ctrlProps/ctrlProp95.xml"/><Relationship Id="rId20" Type="http://schemas.openxmlformats.org/officeDocument/2006/relationships/ctrlProp" Target="../ctrlProps/ctrlProp69.xml"/><Relationship Id="rId41" Type="http://schemas.openxmlformats.org/officeDocument/2006/relationships/ctrlProp" Target="../ctrlProps/ctrlProp90.xml"/><Relationship Id="rId54" Type="http://schemas.openxmlformats.org/officeDocument/2006/relationships/ctrlProp" Target="../ctrlProps/ctrlProp10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5.xml"/><Relationship Id="rId15" Type="http://schemas.openxmlformats.org/officeDocument/2006/relationships/ctrlProp" Target="../ctrlProps/ctrlProp64.xml"/><Relationship Id="rId23" Type="http://schemas.openxmlformats.org/officeDocument/2006/relationships/ctrlProp" Target="../ctrlProps/ctrlProp72.xml"/><Relationship Id="rId28" Type="http://schemas.openxmlformats.org/officeDocument/2006/relationships/ctrlProp" Target="../ctrlProps/ctrlProp77.xml"/><Relationship Id="rId36" Type="http://schemas.openxmlformats.org/officeDocument/2006/relationships/ctrlProp" Target="../ctrlProps/ctrlProp85.xml"/><Relationship Id="rId49" Type="http://schemas.openxmlformats.org/officeDocument/2006/relationships/ctrlProp" Target="../ctrlProps/ctrlProp98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4.xml"/><Relationship Id="rId18" Type="http://schemas.openxmlformats.org/officeDocument/2006/relationships/ctrlProp" Target="../ctrlProps/ctrlProp119.xml"/><Relationship Id="rId26" Type="http://schemas.openxmlformats.org/officeDocument/2006/relationships/ctrlProp" Target="../ctrlProps/ctrlProp127.xml"/><Relationship Id="rId39" Type="http://schemas.openxmlformats.org/officeDocument/2006/relationships/ctrlProp" Target="../ctrlProps/ctrlProp140.xml"/><Relationship Id="rId21" Type="http://schemas.openxmlformats.org/officeDocument/2006/relationships/ctrlProp" Target="../ctrlProps/ctrlProp122.xml"/><Relationship Id="rId34" Type="http://schemas.openxmlformats.org/officeDocument/2006/relationships/ctrlProp" Target="../ctrlProps/ctrlProp135.xml"/><Relationship Id="rId42" Type="http://schemas.openxmlformats.org/officeDocument/2006/relationships/ctrlProp" Target="../ctrlProps/ctrlProp143.xml"/><Relationship Id="rId47" Type="http://schemas.openxmlformats.org/officeDocument/2006/relationships/ctrlProp" Target="../ctrlProps/ctrlProp148.xml"/><Relationship Id="rId50" Type="http://schemas.openxmlformats.org/officeDocument/2006/relationships/ctrlProp" Target="../ctrlProps/ctrlProp151.xml"/><Relationship Id="rId55" Type="http://schemas.openxmlformats.org/officeDocument/2006/relationships/ctrlProp" Target="../ctrlProps/ctrlProp156.xml"/><Relationship Id="rId7" Type="http://schemas.openxmlformats.org/officeDocument/2006/relationships/ctrlProp" Target="../ctrlProps/ctrlProp108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17.xml"/><Relationship Id="rId29" Type="http://schemas.openxmlformats.org/officeDocument/2006/relationships/ctrlProp" Target="../ctrlProps/ctrlProp130.xml"/><Relationship Id="rId11" Type="http://schemas.openxmlformats.org/officeDocument/2006/relationships/ctrlProp" Target="../ctrlProps/ctrlProp112.xml"/><Relationship Id="rId24" Type="http://schemas.openxmlformats.org/officeDocument/2006/relationships/ctrlProp" Target="../ctrlProps/ctrlProp125.xml"/><Relationship Id="rId32" Type="http://schemas.openxmlformats.org/officeDocument/2006/relationships/ctrlProp" Target="../ctrlProps/ctrlProp133.xml"/><Relationship Id="rId37" Type="http://schemas.openxmlformats.org/officeDocument/2006/relationships/ctrlProp" Target="../ctrlProps/ctrlProp138.xml"/><Relationship Id="rId40" Type="http://schemas.openxmlformats.org/officeDocument/2006/relationships/ctrlProp" Target="../ctrlProps/ctrlProp141.xml"/><Relationship Id="rId45" Type="http://schemas.openxmlformats.org/officeDocument/2006/relationships/ctrlProp" Target="../ctrlProps/ctrlProp146.xml"/><Relationship Id="rId53" Type="http://schemas.openxmlformats.org/officeDocument/2006/relationships/ctrlProp" Target="../ctrlProps/ctrlProp154.xml"/><Relationship Id="rId5" Type="http://schemas.openxmlformats.org/officeDocument/2006/relationships/ctrlProp" Target="../ctrlProps/ctrlProp106.xml"/><Relationship Id="rId10" Type="http://schemas.openxmlformats.org/officeDocument/2006/relationships/ctrlProp" Target="../ctrlProps/ctrlProp111.xml"/><Relationship Id="rId19" Type="http://schemas.openxmlformats.org/officeDocument/2006/relationships/ctrlProp" Target="../ctrlProps/ctrlProp120.xml"/><Relationship Id="rId31" Type="http://schemas.openxmlformats.org/officeDocument/2006/relationships/ctrlProp" Target="../ctrlProps/ctrlProp132.xml"/><Relationship Id="rId44" Type="http://schemas.openxmlformats.org/officeDocument/2006/relationships/ctrlProp" Target="../ctrlProps/ctrlProp145.xml"/><Relationship Id="rId52" Type="http://schemas.openxmlformats.org/officeDocument/2006/relationships/ctrlProp" Target="../ctrlProps/ctrlProp153.xml"/><Relationship Id="rId4" Type="http://schemas.openxmlformats.org/officeDocument/2006/relationships/ctrlProp" Target="../ctrlProps/ctrlProp105.xml"/><Relationship Id="rId9" Type="http://schemas.openxmlformats.org/officeDocument/2006/relationships/ctrlProp" Target="../ctrlProps/ctrlProp110.xml"/><Relationship Id="rId14" Type="http://schemas.openxmlformats.org/officeDocument/2006/relationships/ctrlProp" Target="../ctrlProps/ctrlProp115.xml"/><Relationship Id="rId22" Type="http://schemas.openxmlformats.org/officeDocument/2006/relationships/ctrlProp" Target="../ctrlProps/ctrlProp123.xml"/><Relationship Id="rId27" Type="http://schemas.openxmlformats.org/officeDocument/2006/relationships/ctrlProp" Target="../ctrlProps/ctrlProp128.xml"/><Relationship Id="rId30" Type="http://schemas.openxmlformats.org/officeDocument/2006/relationships/ctrlProp" Target="../ctrlProps/ctrlProp131.xml"/><Relationship Id="rId35" Type="http://schemas.openxmlformats.org/officeDocument/2006/relationships/ctrlProp" Target="../ctrlProps/ctrlProp136.xml"/><Relationship Id="rId43" Type="http://schemas.openxmlformats.org/officeDocument/2006/relationships/ctrlProp" Target="../ctrlProps/ctrlProp144.xml"/><Relationship Id="rId48" Type="http://schemas.openxmlformats.org/officeDocument/2006/relationships/ctrlProp" Target="../ctrlProps/ctrlProp149.xml"/><Relationship Id="rId8" Type="http://schemas.openxmlformats.org/officeDocument/2006/relationships/ctrlProp" Target="../ctrlProps/ctrlProp109.xml"/><Relationship Id="rId51" Type="http://schemas.openxmlformats.org/officeDocument/2006/relationships/ctrlProp" Target="../ctrlProps/ctrlProp152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13.xml"/><Relationship Id="rId17" Type="http://schemas.openxmlformats.org/officeDocument/2006/relationships/ctrlProp" Target="../ctrlProps/ctrlProp118.xml"/><Relationship Id="rId25" Type="http://schemas.openxmlformats.org/officeDocument/2006/relationships/ctrlProp" Target="../ctrlProps/ctrlProp126.xml"/><Relationship Id="rId33" Type="http://schemas.openxmlformats.org/officeDocument/2006/relationships/ctrlProp" Target="../ctrlProps/ctrlProp134.xml"/><Relationship Id="rId38" Type="http://schemas.openxmlformats.org/officeDocument/2006/relationships/ctrlProp" Target="../ctrlProps/ctrlProp139.xml"/><Relationship Id="rId46" Type="http://schemas.openxmlformats.org/officeDocument/2006/relationships/ctrlProp" Target="../ctrlProps/ctrlProp147.xml"/><Relationship Id="rId20" Type="http://schemas.openxmlformats.org/officeDocument/2006/relationships/ctrlProp" Target="../ctrlProps/ctrlProp121.xml"/><Relationship Id="rId41" Type="http://schemas.openxmlformats.org/officeDocument/2006/relationships/ctrlProp" Target="../ctrlProps/ctrlProp142.xml"/><Relationship Id="rId54" Type="http://schemas.openxmlformats.org/officeDocument/2006/relationships/ctrlProp" Target="../ctrlProps/ctrlProp15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7.xml"/><Relationship Id="rId15" Type="http://schemas.openxmlformats.org/officeDocument/2006/relationships/ctrlProp" Target="../ctrlProps/ctrlProp116.xml"/><Relationship Id="rId23" Type="http://schemas.openxmlformats.org/officeDocument/2006/relationships/ctrlProp" Target="../ctrlProps/ctrlProp124.xml"/><Relationship Id="rId28" Type="http://schemas.openxmlformats.org/officeDocument/2006/relationships/ctrlProp" Target="../ctrlProps/ctrlProp129.xml"/><Relationship Id="rId36" Type="http://schemas.openxmlformats.org/officeDocument/2006/relationships/ctrlProp" Target="../ctrlProps/ctrlProp137.xml"/><Relationship Id="rId49" Type="http://schemas.openxmlformats.org/officeDocument/2006/relationships/ctrlProp" Target="../ctrlProps/ctrlProp150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6.xml"/><Relationship Id="rId18" Type="http://schemas.openxmlformats.org/officeDocument/2006/relationships/ctrlProp" Target="../ctrlProps/ctrlProp171.xml"/><Relationship Id="rId26" Type="http://schemas.openxmlformats.org/officeDocument/2006/relationships/ctrlProp" Target="../ctrlProps/ctrlProp179.xml"/><Relationship Id="rId39" Type="http://schemas.openxmlformats.org/officeDocument/2006/relationships/ctrlProp" Target="../ctrlProps/ctrlProp192.xml"/><Relationship Id="rId21" Type="http://schemas.openxmlformats.org/officeDocument/2006/relationships/ctrlProp" Target="../ctrlProps/ctrlProp174.xml"/><Relationship Id="rId34" Type="http://schemas.openxmlformats.org/officeDocument/2006/relationships/ctrlProp" Target="../ctrlProps/ctrlProp187.xml"/><Relationship Id="rId42" Type="http://schemas.openxmlformats.org/officeDocument/2006/relationships/ctrlProp" Target="../ctrlProps/ctrlProp195.xml"/><Relationship Id="rId47" Type="http://schemas.openxmlformats.org/officeDocument/2006/relationships/ctrlProp" Target="../ctrlProps/ctrlProp200.xml"/><Relationship Id="rId50" Type="http://schemas.openxmlformats.org/officeDocument/2006/relationships/ctrlProp" Target="../ctrlProps/ctrlProp203.xml"/><Relationship Id="rId55" Type="http://schemas.openxmlformats.org/officeDocument/2006/relationships/ctrlProp" Target="../ctrlProps/ctrlProp208.xml"/><Relationship Id="rId7" Type="http://schemas.openxmlformats.org/officeDocument/2006/relationships/ctrlProp" Target="../ctrlProps/ctrlProp160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69.xml"/><Relationship Id="rId29" Type="http://schemas.openxmlformats.org/officeDocument/2006/relationships/ctrlProp" Target="../ctrlProps/ctrlProp182.xml"/><Relationship Id="rId11" Type="http://schemas.openxmlformats.org/officeDocument/2006/relationships/ctrlProp" Target="../ctrlProps/ctrlProp164.xml"/><Relationship Id="rId24" Type="http://schemas.openxmlformats.org/officeDocument/2006/relationships/ctrlProp" Target="../ctrlProps/ctrlProp177.xml"/><Relationship Id="rId32" Type="http://schemas.openxmlformats.org/officeDocument/2006/relationships/ctrlProp" Target="../ctrlProps/ctrlProp185.xml"/><Relationship Id="rId37" Type="http://schemas.openxmlformats.org/officeDocument/2006/relationships/ctrlProp" Target="../ctrlProps/ctrlProp190.xml"/><Relationship Id="rId40" Type="http://schemas.openxmlformats.org/officeDocument/2006/relationships/ctrlProp" Target="../ctrlProps/ctrlProp193.xml"/><Relationship Id="rId45" Type="http://schemas.openxmlformats.org/officeDocument/2006/relationships/ctrlProp" Target="../ctrlProps/ctrlProp198.xml"/><Relationship Id="rId53" Type="http://schemas.openxmlformats.org/officeDocument/2006/relationships/ctrlProp" Target="../ctrlProps/ctrlProp206.xml"/><Relationship Id="rId5" Type="http://schemas.openxmlformats.org/officeDocument/2006/relationships/ctrlProp" Target="../ctrlProps/ctrlProp158.xml"/><Relationship Id="rId10" Type="http://schemas.openxmlformats.org/officeDocument/2006/relationships/ctrlProp" Target="../ctrlProps/ctrlProp163.xml"/><Relationship Id="rId19" Type="http://schemas.openxmlformats.org/officeDocument/2006/relationships/ctrlProp" Target="../ctrlProps/ctrlProp172.xml"/><Relationship Id="rId31" Type="http://schemas.openxmlformats.org/officeDocument/2006/relationships/ctrlProp" Target="../ctrlProps/ctrlProp184.xml"/><Relationship Id="rId44" Type="http://schemas.openxmlformats.org/officeDocument/2006/relationships/ctrlProp" Target="../ctrlProps/ctrlProp197.xml"/><Relationship Id="rId52" Type="http://schemas.openxmlformats.org/officeDocument/2006/relationships/ctrlProp" Target="../ctrlProps/ctrlProp205.xml"/><Relationship Id="rId4" Type="http://schemas.openxmlformats.org/officeDocument/2006/relationships/ctrlProp" Target="../ctrlProps/ctrlProp157.xml"/><Relationship Id="rId9" Type="http://schemas.openxmlformats.org/officeDocument/2006/relationships/ctrlProp" Target="../ctrlProps/ctrlProp162.xml"/><Relationship Id="rId14" Type="http://schemas.openxmlformats.org/officeDocument/2006/relationships/ctrlProp" Target="../ctrlProps/ctrlProp167.xml"/><Relationship Id="rId22" Type="http://schemas.openxmlformats.org/officeDocument/2006/relationships/ctrlProp" Target="../ctrlProps/ctrlProp175.xml"/><Relationship Id="rId27" Type="http://schemas.openxmlformats.org/officeDocument/2006/relationships/ctrlProp" Target="../ctrlProps/ctrlProp180.xml"/><Relationship Id="rId30" Type="http://schemas.openxmlformats.org/officeDocument/2006/relationships/ctrlProp" Target="../ctrlProps/ctrlProp183.xml"/><Relationship Id="rId35" Type="http://schemas.openxmlformats.org/officeDocument/2006/relationships/ctrlProp" Target="../ctrlProps/ctrlProp188.xml"/><Relationship Id="rId43" Type="http://schemas.openxmlformats.org/officeDocument/2006/relationships/ctrlProp" Target="../ctrlProps/ctrlProp196.xml"/><Relationship Id="rId48" Type="http://schemas.openxmlformats.org/officeDocument/2006/relationships/ctrlProp" Target="../ctrlProps/ctrlProp201.xml"/><Relationship Id="rId8" Type="http://schemas.openxmlformats.org/officeDocument/2006/relationships/ctrlProp" Target="../ctrlProps/ctrlProp161.xml"/><Relationship Id="rId51" Type="http://schemas.openxmlformats.org/officeDocument/2006/relationships/ctrlProp" Target="../ctrlProps/ctrlProp204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65.xml"/><Relationship Id="rId17" Type="http://schemas.openxmlformats.org/officeDocument/2006/relationships/ctrlProp" Target="../ctrlProps/ctrlProp170.xml"/><Relationship Id="rId25" Type="http://schemas.openxmlformats.org/officeDocument/2006/relationships/ctrlProp" Target="../ctrlProps/ctrlProp178.xml"/><Relationship Id="rId33" Type="http://schemas.openxmlformats.org/officeDocument/2006/relationships/ctrlProp" Target="../ctrlProps/ctrlProp186.xml"/><Relationship Id="rId38" Type="http://schemas.openxmlformats.org/officeDocument/2006/relationships/ctrlProp" Target="../ctrlProps/ctrlProp191.xml"/><Relationship Id="rId46" Type="http://schemas.openxmlformats.org/officeDocument/2006/relationships/ctrlProp" Target="../ctrlProps/ctrlProp199.xml"/><Relationship Id="rId20" Type="http://schemas.openxmlformats.org/officeDocument/2006/relationships/ctrlProp" Target="../ctrlProps/ctrlProp173.xml"/><Relationship Id="rId41" Type="http://schemas.openxmlformats.org/officeDocument/2006/relationships/ctrlProp" Target="../ctrlProps/ctrlProp194.xml"/><Relationship Id="rId54" Type="http://schemas.openxmlformats.org/officeDocument/2006/relationships/ctrlProp" Target="../ctrlProps/ctrlProp20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9.xml"/><Relationship Id="rId15" Type="http://schemas.openxmlformats.org/officeDocument/2006/relationships/ctrlProp" Target="../ctrlProps/ctrlProp168.xml"/><Relationship Id="rId23" Type="http://schemas.openxmlformats.org/officeDocument/2006/relationships/ctrlProp" Target="../ctrlProps/ctrlProp176.xml"/><Relationship Id="rId28" Type="http://schemas.openxmlformats.org/officeDocument/2006/relationships/ctrlProp" Target="../ctrlProps/ctrlProp181.xml"/><Relationship Id="rId36" Type="http://schemas.openxmlformats.org/officeDocument/2006/relationships/ctrlProp" Target="../ctrlProps/ctrlProp189.xml"/><Relationship Id="rId49" Type="http://schemas.openxmlformats.org/officeDocument/2006/relationships/ctrlProp" Target="../ctrlProps/ctrlProp20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18.xml"/><Relationship Id="rId18" Type="http://schemas.openxmlformats.org/officeDocument/2006/relationships/ctrlProp" Target="../ctrlProps/ctrlProp223.xml"/><Relationship Id="rId26" Type="http://schemas.openxmlformats.org/officeDocument/2006/relationships/ctrlProp" Target="../ctrlProps/ctrlProp231.xml"/><Relationship Id="rId39" Type="http://schemas.openxmlformats.org/officeDocument/2006/relationships/ctrlProp" Target="../ctrlProps/ctrlProp244.xml"/><Relationship Id="rId21" Type="http://schemas.openxmlformats.org/officeDocument/2006/relationships/ctrlProp" Target="../ctrlProps/ctrlProp226.xml"/><Relationship Id="rId34" Type="http://schemas.openxmlformats.org/officeDocument/2006/relationships/ctrlProp" Target="../ctrlProps/ctrlProp239.xml"/><Relationship Id="rId42" Type="http://schemas.openxmlformats.org/officeDocument/2006/relationships/ctrlProp" Target="../ctrlProps/ctrlProp247.xml"/><Relationship Id="rId47" Type="http://schemas.openxmlformats.org/officeDocument/2006/relationships/ctrlProp" Target="../ctrlProps/ctrlProp252.xml"/><Relationship Id="rId50" Type="http://schemas.openxmlformats.org/officeDocument/2006/relationships/ctrlProp" Target="../ctrlProps/ctrlProp255.xml"/><Relationship Id="rId55" Type="http://schemas.openxmlformats.org/officeDocument/2006/relationships/ctrlProp" Target="../ctrlProps/ctrlProp260.xml"/><Relationship Id="rId7" Type="http://schemas.openxmlformats.org/officeDocument/2006/relationships/ctrlProp" Target="../ctrlProps/ctrlProp21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221.xml"/><Relationship Id="rId29" Type="http://schemas.openxmlformats.org/officeDocument/2006/relationships/ctrlProp" Target="../ctrlProps/ctrlProp234.xml"/><Relationship Id="rId11" Type="http://schemas.openxmlformats.org/officeDocument/2006/relationships/ctrlProp" Target="../ctrlProps/ctrlProp216.xml"/><Relationship Id="rId24" Type="http://schemas.openxmlformats.org/officeDocument/2006/relationships/ctrlProp" Target="../ctrlProps/ctrlProp229.xml"/><Relationship Id="rId32" Type="http://schemas.openxmlformats.org/officeDocument/2006/relationships/ctrlProp" Target="../ctrlProps/ctrlProp237.xml"/><Relationship Id="rId37" Type="http://schemas.openxmlformats.org/officeDocument/2006/relationships/ctrlProp" Target="../ctrlProps/ctrlProp242.xml"/><Relationship Id="rId40" Type="http://schemas.openxmlformats.org/officeDocument/2006/relationships/ctrlProp" Target="../ctrlProps/ctrlProp245.xml"/><Relationship Id="rId45" Type="http://schemas.openxmlformats.org/officeDocument/2006/relationships/ctrlProp" Target="../ctrlProps/ctrlProp250.xml"/><Relationship Id="rId53" Type="http://schemas.openxmlformats.org/officeDocument/2006/relationships/ctrlProp" Target="../ctrlProps/ctrlProp258.xml"/><Relationship Id="rId5" Type="http://schemas.openxmlformats.org/officeDocument/2006/relationships/ctrlProp" Target="../ctrlProps/ctrlProp210.xml"/><Relationship Id="rId10" Type="http://schemas.openxmlformats.org/officeDocument/2006/relationships/ctrlProp" Target="../ctrlProps/ctrlProp215.xml"/><Relationship Id="rId19" Type="http://schemas.openxmlformats.org/officeDocument/2006/relationships/ctrlProp" Target="../ctrlProps/ctrlProp224.xml"/><Relationship Id="rId31" Type="http://schemas.openxmlformats.org/officeDocument/2006/relationships/ctrlProp" Target="../ctrlProps/ctrlProp236.xml"/><Relationship Id="rId44" Type="http://schemas.openxmlformats.org/officeDocument/2006/relationships/ctrlProp" Target="../ctrlProps/ctrlProp249.xml"/><Relationship Id="rId52" Type="http://schemas.openxmlformats.org/officeDocument/2006/relationships/ctrlProp" Target="../ctrlProps/ctrlProp257.xml"/><Relationship Id="rId4" Type="http://schemas.openxmlformats.org/officeDocument/2006/relationships/ctrlProp" Target="../ctrlProps/ctrlProp209.xml"/><Relationship Id="rId9" Type="http://schemas.openxmlformats.org/officeDocument/2006/relationships/ctrlProp" Target="../ctrlProps/ctrlProp214.xml"/><Relationship Id="rId14" Type="http://schemas.openxmlformats.org/officeDocument/2006/relationships/ctrlProp" Target="../ctrlProps/ctrlProp219.xml"/><Relationship Id="rId22" Type="http://schemas.openxmlformats.org/officeDocument/2006/relationships/ctrlProp" Target="../ctrlProps/ctrlProp227.xml"/><Relationship Id="rId27" Type="http://schemas.openxmlformats.org/officeDocument/2006/relationships/ctrlProp" Target="../ctrlProps/ctrlProp232.xml"/><Relationship Id="rId30" Type="http://schemas.openxmlformats.org/officeDocument/2006/relationships/ctrlProp" Target="../ctrlProps/ctrlProp235.xml"/><Relationship Id="rId35" Type="http://schemas.openxmlformats.org/officeDocument/2006/relationships/ctrlProp" Target="../ctrlProps/ctrlProp240.xml"/><Relationship Id="rId43" Type="http://schemas.openxmlformats.org/officeDocument/2006/relationships/ctrlProp" Target="../ctrlProps/ctrlProp248.xml"/><Relationship Id="rId48" Type="http://schemas.openxmlformats.org/officeDocument/2006/relationships/ctrlProp" Target="../ctrlProps/ctrlProp253.xml"/><Relationship Id="rId8" Type="http://schemas.openxmlformats.org/officeDocument/2006/relationships/ctrlProp" Target="../ctrlProps/ctrlProp213.xml"/><Relationship Id="rId51" Type="http://schemas.openxmlformats.org/officeDocument/2006/relationships/ctrlProp" Target="../ctrlProps/ctrlProp256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217.xml"/><Relationship Id="rId17" Type="http://schemas.openxmlformats.org/officeDocument/2006/relationships/ctrlProp" Target="../ctrlProps/ctrlProp222.xml"/><Relationship Id="rId25" Type="http://schemas.openxmlformats.org/officeDocument/2006/relationships/ctrlProp" Target="../ctrlProps/ctrlProp230.xml"/><Relationship Id="rId33" Type="http://schemas.openxmlformats.org/officeDocument/2006/relationships/ctrlProp" Target="../ctrlProps/ctrlProp238.xml"/><Relationship Id="rId38" Type="http://schemas.openxmlformats.org/officeDocument/2006/relationships/ctrlProp" Target="../ctrlProps/ctrlProp243.xml"/><Relationship Id="rId46" Type="http://schemas.openxmlformats.org/officeDocument/2006/relationships/ctrlProp" Target="../ctrlProps/ctrlProp251.xml"/><Relationship Id="rId20" Type="http://schemas.openxmlformats.org/officeDocument/2006/relationships/ctrlProp" Target="../ctrlProps/ctrlProp225.xml"/><Relationship Id="rId41" Type="http://schemas.openxmlformats.org/officeDocument/2006/relationships/ctrlProp" Target="../ctrlProps/ctrlProp246.xml"/><Relationship Id="rId54" Type="http://schemas.openxmlformats.org/officeDocument/2006/relationships/ctrlProp" Target="../ctrlProps/ctrlProp259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11.xml"/><Relationship Id="rId15" Type="http://schemas.openxmlformats.org/officeDocument/2006/relationships/ctrlProp" Target="../ctrlProps/ctrlProp220.xml"/><Relationship Id="rId23" Type="http://schemas.openxmlformats.org/officeDocument/2006/relationships/ctrlProp" Target="../ctrlProps/ctrlProp228.xml"/><Relationship Id="rId28" Type="http://schemas.openxmlformats.org/officeDocument/2006/relationships/ctrlProp" Target="../ctrlProps/ctrlProp233.xml"/><Relationship Id="rId36" Type="http://schemas.openxmlformats.org/officeDocument/2006/relationships/ctrlProp" Target="../ctrlProps/ctrlProp241.xml"/><Relationship Id="rId49" Type="http://schemas.openxmlformats.org/officeDocument/2006/relationships/ctrlProp" Target="../ctrlProps/ctrlProp254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70.xml"/><Relationship Id="rId18" Type="http://schemas.openxmlformats.org/officeDocument/2006/relationships/ctrlProp" Target="../ctrlProps/ctrlProp275.xml"/><Relationship Id="rId26" Type="http://schemas.openxmlformats.org/officeDocument/2006/relationships/ctrlProp" Target="../ctrlProps/ctrlProp283.xml"/><Relationship Id="rId39" Type="http://schemas.openxmlformats.org/officeDocument/2006/relationships/ctrlProp" Target="../ctrlProps/ctrlProp296.xml"/><Relationship Id="rId21" Type="http://schemas.openxmlformats.org/officeDocument/2006/relationships/ctrlProp" Target="../ctrlProps/ctrlProp278.xml"/><Relationship Id="rId34" Type="http://schemas.openxmlformats.org/officeDocument/2006/relationships/ctrlProp" Target="../ctrlProps/ctrlProp291.xml"/><Relationship Id="rId42" Type="http://schemas.openxmlformats.org/officeDocument/2006/relationships/ctrlProp" Target="../ctrlProps/ctrlProp299.xml"/><Relationship Id="rId47" Type="http://schemas.openxmlformats.org/officeDocument/2006/relationships/ctrlProp" Target="../ctrlProps/ctrlProp304.xml"/><Relationship Id="rId50" Type="http://schemas.openxmlformats.org/officeDocument/2006/relationships/ctrlProp" Target="../ctrlProps/ctrlProp307.xml"/><Relationship Id="rId55" Type="http://schemas.openxmlformats.org/officeDocument/2006/relationships/ctrlProp" Target="../ctrlProps/ctrlProp312.xml"/><Relationship Id="rId7" Type="http://schemas.openxmlformats.org/officeDocument/2006/relationships/ctrlProp" Target="../ctrlProps/ctrlProp26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73.xml"/><Relationship Id="rId29" Type="http://schemas.openxmlformats.org/officeDocument/2006/relationships/ctrlProp" Target="../ctrlProps/ctrlProp286.xml"/><Relationship Id="rId11" Type="http://schemas.openxmlformats.org/officeDocument/2006/relationships/ctrlProp" Target="../ctrlProps/ctrlProp268.xml"/><Relationship Id="rId24" Type="http://schemas.openxmlformats.org/officeDocument/2006/relationships/ctrlProp" Target="../ctrlProps/ctrlProp281.xml"/><Relationship Id="rId32" Type="http://schemas.openxmlformats.org/officeDocument/2006/relationships/ctrlProp" Target="../ctrlProps/ctrlProp289.xml"/><Relationship Id="rId37" Type="http://schemas.openxmlformats.org/officeDocument/2006/relationships/ctrlProp" Target="../ctrlProps/ctrlProp294.xml"/><Relationship Id="rId40" Type="http://schemas.openxmlformats.org/officeDocument/2006/relationships/ctrlProp" Target="../ctrlProps/ctrlProp297.xml"/><Relationship Id="rId45" Type="http://schemas.openxmlformats.org/officeDocument/2006/relationships/ctrlProp" Target="../ctrlProps/ctrlProp302.xml"/><Relationship Id="rId53" Type="http://schemas.openxmlformats.org/officeDocument/2006/relationships/ctrlProp" Target="../ctrlProps/ctrlProp310.xml"/><Relationship Id="rId5" Type="http://schemas.openxmlformats.org/officeDocument/2006/relationships/ctrlProp" Target="../ctrlProps/ctrlProp262.xml"/><Relationship Id="rId10" Type="http://schemas.openxmlformats.org/officeDocument/2006/relationships/ctrlProp" Target="../ctrlProps/ctrlProp267.xml"/><Relationship Id="rId19" Type="http://schemas.openxmlformats.org/officeDocument/2006/relationships/ctrlProp" Target="../ctrlProps/ctrlProp276.xml"/><Relationship Id="rId31" Type="http://schemas.openxmlformats.org/officeDocument/2006/relationships/ctrlProp" Target="../ctrlProps/ctrlProp288.xml"/><Relationship Id="rId44" Type="http://schemas.openxmlformats.org/officeDocument/2006/relationships/ctrlProp" Target="../ctrlProps/ctrlProp301.xml"/><Relationship Id="rId52" Type="http://schemas.openxmlformats.org/officeDocument/2006/relationships/ctrlProp" Target="../ctrlProps/ctrlProp309.xml"/><Relationship Id="rId4" Type="http://schemas.openxmlformats.org/officeDocument/2006/relationships/ctrlProp" Target="../ctrlProps/ctrlProp261.xml"/><Relationship Id="rId9" Type="http://schemas.openxmlformats.org/officeDocument/2006/relationships/ctrlProp" Target="../ctrlProps/ctrlProp266.xml"/><Relationship Id="rId14" Type="http://schemas.openxmlformats.org/officeDocument/2006/relationships/ctrlProp" Target="../ctrlProps/ctrlProp271.xml"/><Relationship Id="rId22" Type="http://schemas.openxmlformats.org/officeDocument/2006/relationships/ctrlProp" Target="../ctrlProps/ctrlProp279.xml"/><Relationship Id="rId27" Type="http://schemas.openxmlformats.org/officeDocument/2006/relationships/ctrlProp" Target="../ctrlProps/ctrlProp284.xml"/><Relationship Id="rId30" Type="http://schemas.openxmlformats.org/officeDocument/2006/relationships/ctrlProp" Target="../ctrlProps/ctrlProp287.xml"/><Relationship Id="rId35" Type="http://schemas.openxmlformats.org/officeDocument/2006/relationships/ctrlProp" Target="../ctrlProps/ctrlProp292.xml"/><Relationship Id="rId43" Type="http://schemas.openxmlformats.org/officeDocument/2006/relationships/ctrlProp" Target="../ctrlProps/ctrlProp300.xml"/><Relationship Id="rId48" Type="http://schemas.openxmlformats.org/officeDocument/2006/relationships/ctrlProp" Target="../ctrlProps/ctrlProp305.xml"/><Relationship Id="rId8" Type="http://schemas.openxmlformats.org/officeDocument/2006/relationships/ctrlProp" Target="../ctrlProps/ctrlProp265.xml"/><Relationship Id="rId51" Type="http://schemas.openxmlformats.org/officeDocument/2006/relationships/ctrlProp" Target="../ctrlProps/ctrlProp308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269.xml"/><Relationship Id="rId17" Type="http://schemas.openxmlformats.org/officeDocument/2006/relationships/ctrlProp" Target="../ctrlProps/ctrlProp274.xml"/><Relationship Id="rId25" Type="http://schemas.openxmlformats.org/officeDocument/2006/relationships/ctrlProp" Target="../ctrlProps/ctrlProp282.xml"/><Relationship Id="rId33" Type="http://schemas.openxmlformats.org/officeDocument/2006/relationships/ctrlProp" Target="../ctrlProps/ctrlProp290.xml"/><Relationship Id="rId38" Type="http://schemas.openxmlformats.org/officeDocument/2006/relationships/ctrlProp" Target="../ctrlProps/ctrlProp295.xml"/><Relationship Id="rId46" Type="http://schemas.openxmlformats.org/officeDocument/2006/relationships/ctrlProp" Target="../ctrlProps/ctrlProp303.xml"/><Relationship Id="rId20" Type="http://schemas.openxmlformats.org/officeDocument/2006/relationships/ctrlProp" Target="../ctrlProps/ctrlProp277.xml"/><Relationship Id="rId41" Type="http://schemas.openxmlformats.org/officeDocument/2006/relationships/ctrlProp" Target="../ctrlProps/ctrlProp298.xml"/><Relationship Id="rId54" Type="http://schemas.openxmlformats.org/officeDocument/2006/relationships/ctrlProp" Target="../ctrlProps/ctrlProp31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63.xml"/><Relationship Id="rId15" Type="http://schemas.openxmlformats.org/officeDocument/2006/relationships/ctrlProp" Target="../ctrlProps/ctrlProp272.xml"/><Relationship Id="rId23" Type="http://schemas.openxmlformats.org/officeDocument/2006/relationships/ctrlProp" Target="../ctrlProps/ctrlProp280.xml"/><Relationship Id="rId28" Type="http://schemas.openxmlformats.org/officeDocument/2006/relationships/ctrlProp" Target="../ctrlProps/ctrlProp285.xml"/><Relationship Id="rId36" Type="http://schemas.openxmlformats.org/officeDocument/2006/relationships/ctrlProp" Target="../ctrlProps/ctrlProp293.xml"/><Relationship Id="rId49" Type="http://schemas.openxmlformats.org/officeDocument/2006/relationships/ctrlProp" Target="../ctrlProps/ctrlProp306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22.xml"/><Relationship Id="rId18" Type="http://schemas.openxmlformats.org/officeDocument/2006/relationships/ctrlProp" Target="../ctrlProps/ctrlProp327.xml"/><Relationship Id="rId26" Type="http://schemas.openxmlformats.org/officeDocument/2006/relationships/ctrlProp" Target="../ctrlProps/ctrlProp335.xml"/><Relationship Id="rId39" Type="http://schemas.openxmlformats.org/officeDocument/2006/relationships/ctrlProp" Target="../ctrlProps/ctrlProp348.xml"/><Relationship Id="rId21" Type="http://schemas.openxmlformats.org/officeDocument/2006/relationships/ctrlProp" Target="../ctrlProps/ctrlProp330.xml"/><Relationship Id="rId34" Type="http://schemas.openxmlformats.org/officeDocument/2006/relationships/ctrlProp" Target="../ctrlProps/ctrlProp343.xml"/><Relationship Id="rId42" Type="http://schemas.openxmlformats.org/officeDocument/2006/relationships/ctrlProp" Target="../ctrlProps/ctrlProp351.xml"/><Relationship Id="rId47" Type="http://schemas.openxmlformats.org/officeDocument/2006/relationships/ctrlProp" Target="../ctrlProps/ctrlProp356.xml"/><Relationship Id="rId50" Type="http://schemas.openxmlformats.org/officeDocument/2006/relationships/ctrlProp" Target="../ctrlProps/ctrlProp359.xml"/><Relationship Id="rId55" Type="http://schemas.openxmlformats.org/officeDocument/2006/relationships/ctrlProp" Target="../ctrlProps/ctrlProp364.xml"/><Relationship Id="rId7" Type="http://schemas.openxmlformats.org/officeDocument/2006/relationships/ctrlProp" Target="../ctrlProps/ctrlProp316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325.xml"/><Relationship Id="rId29" Type="http://schemas.openxmlformats.org/officeDocument/2006/relationships/ctrlProp" Target="../ctrlProps/ctrlProp338.xml"/><Relationship Id="rId11" Type="http://schemas.openxmlformats.org/officeDocument/2006/relationships/ctrlProp" Target="../ctrlProps/ctrlProp320.xml"/><Relationship Id="rId24" Type="http://schemas.openxmlformats.org/officeDocument/2006/relationships/ctrlProp" Target="../ctrlProps/ctrlProp333.xml"/><Relationship Id="rId32" Type="http://schemas.openxmlformats.org/officeDocument/2006/relationships/ctrlProp" Target="../ctrlProps/ctrlProp341.xml"/><Relationship Id="rId37" Type="http://schemas.openxmlformats.org/officeDocument/2006/relationships/ctrlProp" Target="../ctrlProps/ctrlProp346.xml"/><Relationship Id="rId40" Type="http://schemas.openxmlformats.org/officeDocument/2006/relationships/ctrlProp" Target="../ctrlProps/ctrlProp349.xml"/><Relationship Id="rId45" Type="http://schemas.openxmlformats.org/officeDocument/2006/relationships/ctrlProp" Target="../ctrlProps/ctrlProp354.xml"/><Relationship Id="rId53" Type="http://schemas.openxmlformats.org/officeDocument/2006/relationships/ctrlProp" Target="../ctrlProps/ctrlProp362.xml"/><Relationship Id="rId5" Type="http://schemas.openxmlformats.org/officeDocument/2006/relationships/ctrlProp" Target="../ctrlProps/ctrlProp314.xml"/><Relationship Id="rId10" Type="http://schemas.openxmlformats.org/officeDocument/2006/relationships/ctrlProp" Target="../ctrlProps/ctrlProp319.xml"/><Relationship Id="rId19" Type="http://schemas.openxmlformats.org/officeDocument/2006/relationships/ctrlProp" Target="../ctrlProps/ctrlProp328.xml"/><Relationship Id="rId31" Type="http://schemas.openxmlformats.org/officeDocument/2006/relationships/ctrlProp" Target="../ctrlProps/ctrlProp340.xml"/><Relationship Id="rId44" Type="http://schemas.openxmlformats.org/officeDocument/2006/relationships/ctrlProp" Target="../ctrlProps/ctrlProp353.xml"/><Relationship Id="rId52" Type="http://schemas.openxmlformats.org/officeDocument/2006/relationships/ctrlProp" Target="../ctrlProps/ctrlProp361.xml"/><Relationship Id="rId4" Type="http://schemas.openxmlformats.org/officeDocument/2006/relationships/ctrlProp" Target="../ctrlProps/ctrlProp313.xml"/><Relationship Id="rId9" Type="http://schemas.openxmlformats.org/officeDocument/2006/relationships/ctrlProp" Target="../ctrlProps/ctrlProp318.xml"/><Relationship Id="rId14" Type="http://schemas.openxmlformats.org/officeDocument/2006/relationships/ctrlProp" Target="../ctrlProps/ctrlProp323.xml"/><Relationship Id="rId22" Type="http://schemas.openxmlformats.org/officeDocument/2006/relationships/ctrlProp" Target="../ctrlProps/ctrlProp331.xml"/><Relationship Id="rId27" Type="http://schemas.openxmlformats.org/officeDocument/2006/relationships/ctrlProp" Target="../ctrlProps/ctrlProp336.xml"/><Relationship Id="rId30" Type="http://schemas.openxmlformats.org/officeDocument/2006/relationships/ctrlProp" Target="../ctrlProps/ctrlProp339.xml"/><Relationship Id="rId35" Type="http://schemas.openxmlformats.org/officeDocument/2006/relationships/ctrlProp" Target="../ctrlProps/ctrlProp344.xml"/><Relationship Id="rId43" Type="http://schemas.openxmlformats.org/officeDocument/2006/relationships/ctrlProp" Target="../ctrlProps/ctrlProp352.xml"/><Relationship Id="rId48" Type="http://schemas.openxmlformats.org/officeDocument/2006/relationships/ctrlProp" Target="../ctrlProps/ctrlProp357.xml"/><Relationship Id="rId8" Type="http://schemas.openxmlformats.org/officeDocument/2006/relationships/ctrlProp" Target="../ctrlProps/ctrlProp317.xml"/><Relationship Id="rId51" Type="http://schemas.openxmlformats.org/officeDocument/2006/relationships/ctrlProp" Target="../ctrlProps/ctrlProp360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321.xml"/><Relationship Id="rId17" Type="http://schemas.openxmlformats.org/officeDocument/2006/relationships/ctrlProp" Target="../ctrlProps/ctrlProp326.xml"/><Relationship Id="rId25" Type="http://schemas.openxmlformats.org/officeDocument/2006/relationships/ctrlProp" Target="../ctrlProps/ctrlProp334.xml"/><Relationship Id="rId33" Type="http://schemas.openxmlformats.org/officeDocument/2006/relationships/ctrlProp" Target="../ctrlProps/ctrlProp342.xml"/><Relationship Id="rId38" Type="http://schemas.openxmlformats.org/officeDocument/2006/relationships/ctrlProp" Target="../ctrlProps/ctrlProp347.xml"/><Relationship Id="rId46" Type="http://schemas.openxmlformats.org/officeDocument/2006/relationships/ctrlProp" Target="../ctrlProps/ctrlProp355.xml"/><Relationship Id="rId20" Type="http://schemas.openxmlformats.org/officeDocument/2006/relationships/ctrlProp" Target="../ctrlProps/ctrlProp329.xml"/><Relationship Id="rId41" Type="http://schemas.openxmlformats.org/officeDocument/2006/relationships/ctrlProp" Target="../ctrlProps/ctrlProp350.xml"/><Relationship Id="rId54" Type="http://schemas.openxmlformats.org/officeDocument/2006/relationships/ctrlProp" Target="../ctrlProps/ctrlProp36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15.xml"/><Relationship Id="rId15" Type="http://schemas.openxmlformats.org/officeDocument/2006/relationships/ctrlProp" Target="../ctrlProps/ctrlProp324.xml"/><Relationship Id="rId23" Type="http://schemas.openxmlformats.org/officeDocument/2006/relationships/ctrlProp" Target="../ctrlProps/ctrlProp332.xml"/><Relationship Id="rId28" Type="http://schemas.openxmlformats.org/officeDocument/2006/relationships/ctrlProp" Target="../ctrlProps/ctrlProp337.xml"/><Relationship Id="rId36" Type="http://schemas.openxmlformats.org/officeDocument/2006/relationships/ctrlProp" Target="../ctrlProps/ctrlProp345.xml"/><Relationship Id="rId49" Type="http://schemas.openxmlformats.org/officeDocument/2006/relationships/ctrlProp" Target="../ctrlProps/ctrlProp358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74.xml"/><Relationship Id="rId18" Type="http://schemas.openxmlformats.org/officeDocument/2006/relationships/ctrlProp" Target="../ctrlProps/ctrlProp379.xml"/><Relationship Id="rId26" Type="http://schemas.openxmlformats.org/officeDocument/2006/relationships/ctrlProp" Target="../ctrlProps/ctrlProp387.xml"/><Relationship Id="rId39" Type="http://schemas.openxmlformats.org/officeDocument/2006/relationships/ctrlProp" Target="../ctrlProps/ctrlProp400.xml"/><Relationship Id="rId21" Type="http://schemas.openxmlformats.org/officeDocument/2006/relationships/ctrlProp" Target="../ctrlProps/ctrlProp382.xml"/><Relationship Id="rId34" Type="http://schemas.openxmlformats.org/officeDocument/2006/relationships/ctrlProp" Target="../ctrlProps/ctrlProp395.xml"/><Relationship Id="rId42" Type="http://schemas.openxmlformats.org/officeDocument/2006/relationships/ctrlProp" Target="../ctrlProps/ctrlProp403.xml"/><Relationship Id="rId47" Type="http://schemas.openxmlformats.org/officeDocument/2006/relationships/ctrlProp" Target="../ctrlProps/ctrlProp408.xml"/><Relationship Id="rId50" Type="http://schemas.openxmlformats.org/officeDocument/2006/relationships/ctrlProp" Target="../ctrlProps/ctrlProp411.xml"/><Relationship Id="rId55" Type="http://schemas.openxmlformats.org/officeDocument/2006/relationships/ctrlProp" Target="../ctrlProps/ctrlProp416.xml"/><Relationship Id="rId7" Type="http://schemas.openxmlformats.org/officeDocument/2006/relationships/ctrlProp" Target="../ctrlProps/ctrlProp368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377.xml"/><Relationship Id="rId29" Type="http://schemas.openxmlformats.org/officeDocument/2006/relationships/ctrlProp" Target="../ctrlProps/ctrlProp390.xml"/><Relationship Id="rId11" Type="http://schemas.openxmlformats.org/officeDocument/2006/relationships/ctrlProp" Target="../ctrlProps/ctrlProp372.xml"/><Relationship Id="rId24" Type="http://schemas.openxmlformats.org/officeDocument/2006/relationships/ctrlProp" Target="../ctrlProps/ctrlProp385.xml"/><Relationship Id="rId32" Type="http://schemas.openxmlformats.org/officeDocument/2006/relationships/ctrlProp" Target="../ctrlProps/ctrlProp393.xml"/><Relationship Id="rId37" Type="http://schemas.openxmlformats.org/officeDocument/2006/relationships/ctrlProp" Target="../ctrlProps/ctrlProp398.xml"/><Relationship Id="rId40" Type="http://schemas.openxmlformats.org/officeDocument/2006/relationships/ctrlProp" Target="../ctrlProps/ctrlProp401.xml"/><Relationship Id="rId45" Type="http://schemas.openxmlformats.org/officeDocument/2006/relationships/ctrlProp" Target="../ctrlProps/ctrlProp406.xml"/><Relationship Id="rId53" Type="http://schemas.openxmlformats.org/officeDocument/2006/relationships/ctrlProp" Target="../ctrlProps/ctrlProp414.xml"/><Relationship Id="rId5" Type="http://schemas.openxmlformats.org/officeDocument/2006/relationships/ctrlProp" Target="../ctrlProps/ctrlProp366.xml"/><Relationship Id="rId10" Type="http://schemas.openxmlformats.org/officeDocument/2006/relationships/ctrlProp" Target="../ctrlProps/ctrlProp371.xml"/><Relationship Id="rId19" Type="http://schemas.openxmlformats.org/officeDocument/2006/relationships/ctrlProp" Target="../ctrlProps/ctrlProp380.xml"/><Relationship Id="rId31" Type="http://schemas.openxmlformats.org/officeDocument/2006/relationships/ctrlProp" Target="../ctrlProps/ctrlProp392.xml"/><Relationship Id="rId44" Type="http://schemas.openxmlformats.org/officeDocument/2006/relationships/ctrlProp" Target="../ctrlProps/ctrlProp405.xml"/><Relationship Id="rId52" Type="http://schemas.openxmlformats.org/officeDocument/2006/relationships/ctrlProp" Target="../ctrlProps/ctrlProp413.xml"/><Relationship Id="rId4" Type="http://schemas.openxmlformats.org/officeDocument/2006/relationships/ctrlProp" Target="../ctrlProps/ctrlProp365.xml"/><Relationship Id="rId9" Type="http://schemas.openxmlformats.org/officeDocument/2006/relationships/ctrlProp" Target="../ctrlProps/ctrlProp370.xml"/><Relationship Id="rId14" Type="http://schemas.openxmlformats.org/officeDocument/2006/relationships/ctrlProp" Target="../ctrlProps/ctrlProp375.xml"/><Relationship Id="rId22" Type="http://schemas.openxmlformats.org/officeDocument/2006/relationships/ctrlProp" Target="../ctrlProps/ctrlProp383.xml"/><Relationship Id="rId27" Type="http://schemas.openxmlformats.org/officeDocument/2006/relationships/ctrlProp" Target="../ctrlProps/ctrlProp388.xml"/><Relationship Id="rId30" Type="http://schemas.openxmlformats.org/officeDocument/2006/relationships/ctrlProp" Target="../ctrlProps/ctrlProp391.xml"/><Relationship Id="rId35" Type="http://schemas.openxmlformats.org/officeDocument/2006/relationships/ctrlProp" Target="../ctrlProps/ctrlProp396.xml"/><Relationship Id="rId43" Type="http://schemas.openxmlformats.org/officeDocument/2006/relationships/ctrlProp" Target="../ctrlProps/ctrlProp404.xml"/><Relationship Id="rId48" Type="http://schemas.openxmlformats.org/officeDocument/2006/relationships/ctrlProp" Target="../ctrlProps/ctrlProp409.xml"/><Relationship Id="rId8" Type="http://schemas.openxmlformats.org/officeDocument/2006/relationships/ctrlProp" Target="../ctrlProps/ctrlProp369.xml"/><Relationship Id="rId51" Type="http://schemas.openxmlformats.org/officeDocument/2006/relationships/ctrlProp" Target="../ctrlProps/ctrlProp412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373.xml"/><Relationship Id="rId17" Type="http://schemas.openxmlformats.org/officeDocument/2006/relationships/ctrlProp" Target="../ctrlProps/ctrlProp378.xml"/><Relationship Id="rId25" Type="http://schemas.openxmlformats.org/officeDocument/2006/relationships/ctrlProp" Target="../ctrlProps/ctrlProp386.xml"/><Relationship Id="rId33" Type="http://schemas.openxmlformats.org/officeDocument/2006/relationships/ctrlProp" Target="../ctrlProps/ctrlProp394.xml"/><Relationship Id="rId38" Type="http://schemas.openxmlformats.org/officeDocument/2006/relationships/ctrlProp" Target="../ctrlProps/ctrlProp399.xml"/><Relationship Id="rId46" Type="http://schemas.openxmlformats.org/officeDocument/2006/relationships/ctrlProp" Target="../ctrlProps/ctrlProp407.xml"/><Relationship Id="rId20" Type="http://schemas.openxmlformats.org/officeDocument/2006/relationships/ctrlProp" Target="../ctrlProps/ctrlProp381.xml"/><Relationship Id="rId41" Type="http://schemas.openxmlformats.org/officeDocument/2006/relationships/ctrlProp" Target="../ctrlProps/ctrlProp402.xml"/><Relationship Id="rId54" Type="http://schemas.openxmlformats.org/officeDocument/2006/relationships/ctrlProp" Target="../ctrlProps/ctrlProp41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67.xml"/><Relationship Id="rId15" Type="http://schemas.openxmlformats.org/officeDocument/2006/relationships/ctrlProp" Target="../ctrlProps/ctrlProp376.xml"/><Relationship Id="rId23" Type="http://schemas.openxmlformats.org/officeDocument/2006/relationships/ctrlProp" Target="../ctrlProps/ctrlProp384.xml"/><Relationship Id="rId28" Type="http://schemas.openxmlformats.org/officeDocument/2006/relationships/ctrlProp" Target="../ctrlProps/ctrlProp389.xml"/><Relationship Id="rId36" Type="http://schemas.openxmlformats.org/officeDocument/2006/relationships/ctrlProp" Target="../ctrlProps/ctrlProp397.xml"/><Relationship Id="rId49" Type="http://schemas.openxmlformats.org/officeDocument/2006/relationships/ctrlProp" Target="../ctrlProps/ctrlProp410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26.xml"/><Relationship Id="rId18" Type="http://schemas.openxmlformats.org/officeDocument/2006/relationships/ctrlProp" Target="../ctrlProps/ctrlProp431.xml"/><Relationship Id="rId26" Type="http://schemas.openxmlformats.org/officeDocument/2006/relationships/ctrlProp" Target="../ctrlProps/ctrlProp439.xml"/><Relationship Id="rId39" Type="http://schemas.openxmlformats.org/officeDocument/2006/relationships/ctrlProp" Target="../ctrlProps/ctrlProp452.xml"/><Relationship Id="rId21" Type="http://schemas.openxmlformats.org/officeDocument/2006/relationships/ctrlProp" Target="../ctrlProps/ctrlProp434.xml"/><Relationship Id="rId34" Type="http://schemas.openxmlformats.org/officeDocument/2006/relationships/ctrlProp" Target="../ctrlProps/ctrlProp447.xml"/><Relationship Id="rId42" Type="http://schemas.openxmlformats.org/officeDocument/2006/relationships/ctrlProp" Target="../ctrlProps/ctrlProp455.xml"/><Relationship Id="rId47" Type="http://schemas.openxmlformats.org/officeDocument/2006/relationships/ctrlProp" Target="../ctrlProps/ctrlProp460.xml"/><Relationship Id="rId50" Type="http://schemas.openxmlformats.org/officeDocument/2006/relationships/ctrlProp" Target="../ctrlProps/ctrlProp463.xml"/><Relationship Id="rId55" Type="http://schemas.openxmlformats.org/officeDocument/2006/relationships/ctrlProp" Target="../ctrlProps/ctrlProp468.xml"/><Relationship Id="rId7" Type="http://schemas.openxmlformats.org/officeDocument/2006/relationships/ctrlProp" Target="../ctrlProps/ctrlProp420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429.xml"/><Relationship Id="rId29" Type="http://schemas.openxmlformats.org/officeDocument/2006/relationships/ctrlProp" Target="../ctrlProps/ctrlProp442.xml"/><Relationship Id="rId11" Type="http://schemas.openxmlformats.org/officeDocument/2006/relationships/ctrlProp" Target="../ctrlProps/ctrlProp424.xml"/><Relationship Id="rId24" Type="http://schemas.openxmlformats.org/officeDocument/2006/relationships/ctrlProp" Target="../ctrlProps/ctrlProp437.xml"/><Relationship Id="rId32" Type="http://schemas.openxmlformats.org/officeDocument/2006/relationships/ctrlProp" Target="../ctrlProps/ctrlProp445.xml"/><Relationship Id="rId37" Type="http://schemas.openxmlformats.org/officeDocument/2006/relationships/ctrlProp" Target="../ctrlProps/ctrlProp450.xml"/><Relationship Id="rId40" Type="http://schemas.openxmlformats.org/officeDocument/2006/relationships/ctrlProp" Target="../ctrlProps/ctrlProp453.xml"/><Relationship Id="rId45" Type="http://schemas.openxmlformats.org/officeDocument/2006/relationships/ctrlProp" Target="../ctrlProps/ctrlProp458.xml"/><Relationship Id="rId53" Type="http://schemas.openxmlformats.org/officeDocument/2006/relationships/ctrlProp" Target="../ctrlProps/ctrlProp466.xml"/><Relationship Id="rId5" Type="http://schemas.openxmlformats.org/officeDocument/2006/relationships/ctrlProp" Target="../ctrlProps/ctrlProp418.xml"/><Relationship Id="rId10" Type="http://schemas.openxmlformats.org/officeDocument/2006/relationships/ctrlProp" Target="../ctrlProps/ctrlProp423.xml"/><Relationship Id="rId19" Type="http://schemas.openxmlformats.org/officeDocument/2006/relationships/ctrlProp" Target="../ctrlProps/ctrlProp432.xml"/><Relationship Id="rId31" Type="http://schemas.openxmlformats.org/officeDocument/2006/relationships/ctrlProp" Target="../ctrlProps/ctrlProp444.xml"/><Relationship Id="rId44" Type="http://schemas.openxmlformats.org/officeDocument/2006/relationships/ctrlProp" Target="../ctrlProps/ctrlProp457.xml"/><Relationship Id="rId52" Type="http://schemas.openxmlformats.org/officeDocument/2006/relationships/ctrlProp" Target="../ctrlProps/ctrlProp465.xml"/><Relationship Id="rId4" Type="http://schemas.openxmlformats.org/officeDocument/2006/relationships/ctrlProp" Target="../ctrlProps/ctrlProp417.xml"/><Relationship Id="rId9" Type="http://schemas.openxmlformats.org/officeDocument/2006/relationships/ctrlProp" Target="../ctrlProps/ctrlProp422.xml"/><Relationship Id="rId14" Type="http://schemas.openxmlformats.org/officeDocument/2006/relationships/ctrlProp" Target="../ctrlProps/ctrlProp427.xml"/><Relationship Id="rId22" Type="http://schemas.openxmlformats.org/officeDocument/2006/relationships/ctrlProp" Target="../ctrlProps/ctrlProp435.xml"/><Relationship Id="rId27" Type="http://schemas.openxmlformats.org/officeDocument/2006/relationships/ctrlProp" Target="../ctrlProps/ctrlProp440.xml"/><Relationship Id="rId30" Type="http://schemas.openxmlformats.org/officeDocument/2006/relationships/ctrlProp" Target="../ctrlProps/ctrlProp443.xml"/><Relationship Id="rId35" Type="http://schemas.openxmlformats.org/officeDocument/2006/relationships/ctrlProp" Target="../ctrlProps/ctrlProp448.xml"/><Relationship Id="rId43" Type="http://schemas.openxmlformats.org/officeDocument/2006/relationships/ctrlProp" Target="../ctrlProps/ctrlProp456.xml"/><Relationship Id="rId48" Type="http://schemas.openxmlformats.org/officeDocument/2006/relationships/ctrlProp" Target="../ctrlProps/ctrlProp461.xml"/><Relationship Id="rId8" Type="http://schemas.openxmlformats.org/officeDocument/2006/relationships/ctrlProp" Target="../ctrlProps/ctrlProp421.xml"/><Relationship Id="rId51" Type="http://schemas.openxmlformats.org/officeDocument/2006/relationships/ctrlProp" Target="../ctrlProps/ctrlProp464.xml"/><Relationship Id="rId3" Type="http://schemas.openxmlformats.org/officeDocument/2006/relationships/vmlDrawing" Target="../drawings/vmlDrawing9.vml"/><Relationship Id="rId12" Type="http://schemas.openxmlformats.org/officeDocument/2006/relationships/ctrlProp" Target="../ctrlProps/ctrlProp425.xml"/><Relationship Id="rId17" Type="http://schemas.openxmlformats.org/officeDocument/2006/relationships/ctrlProp" Target="../ctrlProps/ctrlProp430.xml"/><Relationship Id="rId25" Type="http://schemas.openxmlformats.org/officeDocument/2006/relationships/ctrlProp" Target="../ctrlProps/ctrlProp438.xml"/><Relationship Id="rId33" Type="http://schemas.openxmlformats.org/officeDocument/2006/relationships/ctrlProp" Target="../ctrlProps/ctrlProp446.xml"/><Relationship Id="rId38" Type="http://schemas.openxmlformats.org/officeDocument/2006/relationships/ctrlProp" Target="../ctrlProps/ctrlProp451.xml"/><Relationship Id="rId46" Type="http://schemas.openxmlformats.org/officeDocument/2006/relationships/ctrlProp" Target="../ctrlProps/ctrlProp459.xml"/><Relationship Id="rId20" Type="http://schemas.openxmlformats.org/officeDocument/2006/relationships/ctrlProp" Target="../ctrlProps/ctrlProp433.xml"/><Relationship Id="rId41" Type="http://schemas.openxmlformats.org/officeDocument/2006/relationships/ctrlProp" Target="../ctrlProps/ctrlProp454.xml"/><Relationship Id="rId54" Type="http://schemas.openxmlformats.org/officeDocument/2006/relationships/ctrlProp" Target="../ctrlProps/ctrlProp467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19.xml"/><Relationship Id="rId15" Type="http://schemas.openxmlformats.org/officeDocument/2006/relationships/ctrlProp" Target="../ctrlProps/ctrlProp428.xml"/><Relationship Id="rId23" Type="http://schemas.openxmlformats.org/officeDocument/2006/relationships/ctrlProp" Target="../ctrlProps/ctrlProp436.xml"/><Relationship Id="rId28" Type="http://schemas.openxmlformats.org/officeDocument/2006/relationships/ctrlProp" Target="../ctrlProps/ctrlProp441.xml"/><Relationship Id="rId36" Type="http://schemas.openxmlformats.org/officeDocument/2006/relationships/ctrlProp" Target="../ctrlProps/ctrlProp449.xml"/><Relationship Id="rId49" Type="http://schemas.openxmlformats.org/officeDocument/2006/relationships/ctrlProp" Target="../ctrlProps/ctrlProp462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78.xml"/><Relationship Id="rId18" Type="http://schemas.openxmlformats.org/officeDocument/2006/relationships/ctrlProp" Target="../ctrlProps/ctrlProp483.xml"/><Relationship Id="rId26" Type="http://schemas.openxmlformats.org/officeDocument/2006/relationships/ctrlProp" Target="../ctrlProps/ctrlProp491.xml"/><Relationship Id="rId39" Type="http://schemas.openxmlformats.org/officeDocument/2006/relationships/ctrlProp" Target="../ctrlProps/ctrlProp504.xml"/><Relationship Id="rId21" Type="http://schemas.openxmlformats.org/officeDocument/2006/relationships/ctrlProp" Target="../ctrlProps/ctrlProp486.xml"/><Relationship Id="rId34" Type="http://schemas.openxmlformats.org/officeDocument/2006/relationships/ctrlProp" Target="../ctrlProps/ctrlProp499.xml"/><Relationship Id="rId42" Type="http://schemas.openxmlformats.org/officeDocument/2006/relationships/ctrlProp" Target="../ctrlProps/ctrlProp507.xml"/><Relationship Id="rId47" Type="http://schemas.openxmlformats.org/officeDocument/2006/relationships/ctrlProp" Target="../ctrlProps/ctrlProp512.xml"/><Relationship Id="rId50" Type="http://schemas.openxmlformats.org/officeDocument/2006/relationships/ctrlProp" Target="../ctrlProps/ctrlProp515.xml"/><Relationship Id="rId55" Type="http://schemas.openxmlformats.org/officeDocument/2006/relationships/ctrlProp" Target="../ctrlProps/ctrlProp520.xml"/><Relationship Id="rId7" Type="http://schemas.openxmlformats.org/officeDocument/2006/relationships/ctrlProp" Target="../ctrlProps/ctrlProp472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481.xml"/><Relationship Id="rId29" Type="http://schemas.openxmlformats.org/officeDocument/2006/relationships/ctrlProp" Target="../ctrlProps/ctrlProp494.xml"/><Relationship Id="rId11" Type="http://schemas.openxmlformats.org/officeDocument/2006/relationships/ctrlProp" Target="../ctrlProps/ctrlProp476.xml"/><Relationship Id="rId24" Type="http://schemas.openxmlformats.org/officeDocument/2006/relationships/ctrlProp" Target="../ctrlProps/ctrlProp489.xml"/><Relationship Id="rId32" Type="http://schemas.openxmlformats.org/officeDocument/2006/relationships/ctrlProp" Target="../ctrlProps/ctrlProp497.xml"/><Relationship Id="rId37" Type="http://schemas.openxmlformats.org/officeDocument/2006/relationships/ctrlProp" Target="../ctrlProps/ctrlProp502.xml"/><Relationship Id="rId40" Type="http://schemas.openxmlformats.org/officeDocument/2006/relationships/ctrlProp" Target="../ctrlProps/ctrlProp505.xml"/><Relationship Id="rId45" Type="http://schemas.openxmlformats.org/officeDocument/2006/relationships/ctrlProp" Target="../ctrlProps/ctrlProp510.xml"/><Relationship Id="rId53" Type="http://schemas.openxmlformats.org/officeDocument/2006/relationships/ctrlProp" Target="../ctrlProps/ctrlProp518.xml"/><Relationship Id="rId5" Type="http://schemas.openxmlformats.org/officeDocument/2006/relationships/ctrlProp" Target="../ctrlProps/ctrlProp470.xml"/><Relationship Id="rId10" Type="http://schemas.openxmlformats.org/officeDocument/2006/relationships/ctrlProp" Target="../ctrlProps/ctrlProp475.xml"/><Relationship Id="rId19" Type="http://schemas.openxmlformats.org/officeDocument/2006/relationships/ctrlProp" Target="../ctrlProps/ctrlProp484.xml"/><Relationship Id="rId31" Type="http://schemas.openxmlformats.org/officeDocument/2006/relationships/ctrlProp" Target="../ctrlProps/ctrlProp496.xml"/><Relationship Id="rId44" Type="http://schemas.openxmlformats.org/officeDocument/2006/relationships/ctrlProp" Target="../ctrlProps/ctrlProp509.xml"/><Relationship Id="rId52" Type="http://schemas.openxmlformats.org/officeDocument/2006/relationships/ctrlProp" Target="../ctrlProps/ctrlProp517.xml"/><Relationship Id="rId4" Type="http://schemas.openxmlformats.org/officeDocument/2006/relationships/ctrlProp" Target="../ctrlProps/ctrlProp469.xml"/><Relationship Id="rId9" Type="http://schemas.openxmlformats.org/officeDocument/2006/relationships/ctrlProp" Target="../ctrlProps/ctrlProp474.xml"/><Relationship Id="rId14" Type="http://schemas.openxmlformats.org/officeDocument/2006/relationships/ctrlProp" Target="../ctrlProps/ctrlProp479.xml"/><Relationship Id="rId22" Type="http://schemas.openxmlformats.org/officeDocument/2006/relationships/ctrlProp" Target="../ctrlProps/ctrlProp487.xml"/><Relationship Id="rId27" Type="http://schemas.openxmlformats.org/officeDocument/2006/relationships/ctrlProp" Target="../ctrlProps/ctrlProp492.xml"/><Relationship Id="rId30" Type="http://schemas.openxmlformats.org/officeDocument/2006/relationships/ctrlProp" Target="../ctrlProps/ctrlProp495.xml"/><Relationship Id="rId35" Type="http://schemas.openxmlformats.org/officeDocument/2006/relationships/ctrlProp" Target="../ctrlProps/ctrlProp500.xml"/><Relationship Id="rId43" Type="http://schemas.openxmlformats.org/officeDocument/2006/relationships/ctrlProp" Target="../ctrlProps/ctrlProp508.xml"/><Relationship Id="rId48" Type="http://schemas.openxmlformats.org/officeDocument/2006/relationships/ctrlProp" Target="../ctrlProps/ctrlProp513.xml"/><Relationship Id="rId8" Type="http://schemas.openxmlformats.org/officeDocument/2006/relationships/ctrlProp" Target="../ctrlProps/ctrlProp473.xml"/><Relationship Id="rId51" Type="http://schemas.openxmlformats.org/officeDocument/2006/relationships/ctrlProp" Target="../ctrlProps/ctrlProp516.xml"/><Relationship Id="rId3" Type="http://schemas.openxmlformats.org/officeDocument/2006/relationships/vmlDrawing" Target="../drawings/vmlDrawing10.vml"/><Relationship Id="rId12" Type="http://schemas.openxmlformats.org/officeDocument/2006/relationships/ctrlProp" Target="../ctrlProps/ctrlProp477.xml"/><Relationship Id="rId17" Type="http://schemas.openxmlformats.org/officeDocument/2006/relationships/ctrlProp" Target="../ctrlProps/ctrlProp482.xml"/><Relationship Id="rId25" Type="http://schemas.openxmlformats.org/officeDocument/2006/relationships/ctrlProp" Target="../ctrlProps/ctrlProp490.xml"/><Relationship Id="rId33" Type="http://schemas.openxmlformats.org/officeDocument/2006/relationships/ctrlProp" Target="../ctrlProps/ctrlProp498.xml"/><Relationship Id="rId38" Type="http://schemas.openxmlformats.org/officeDocument/2006/relationships/ctrlProp" Target="../ctrlProps/ctrlProp503.xml"/><Relationship Id="rId46" Type="http://schemas.openxmlformats.org/officeDocument/2006/relationships/ctrlProp" Target="../ctrlProps/ctrlProp511.xml"/><Relationship Id="rId20" Type="http://schemas.openxmlformats.org/officeDocument/2006/relationships/ctrlProp" Target="../ctrlProps/ctrlProp485.xml"/><Relationship Id="rId41" Type="http://schemas.openxmlformats.org/officeDocument/2006/relationships/ctrlProp" Target="../ctrlProps/ctrlProp506.xml"/><Relationship Id="rId54" Type="http://schemas.openxmlformats.org/officeDocument/2006/relationships/ctrlProp" Target="../ctrlProps/ctrlProp519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471.xml"/><Relationship Id="rId15" Type="http://schemas.openxmlformats.org/officeDocument/2006/relationships/ctrlProp" Target="../ctrlProps/ctrlProp480.xml"/><Relationship Id="rId23" Type="http://schemas.openxmlformats.org/officeDocument/2006/relationships/ctrlProp" Target="../ctrlProps/ctrlProp488.xml"/><Relationship Id="rId28" Type="http://schemas.openxmlformats.org/officeDocument/2006/relationships/ctrlProp" Target="../ctrlProps/ctrlProp493.xml"/><Relationship Id="rId36" Type="http://schemas.openxmlformats.org/officeDocument/2006/relationships/ctrlProp" Target="../ctrlProps/ctrlProp501.xml"/><Relationship Id="rId49" Type="http://schemas.openxmlformats.org/officeDocument/2006/relationships/ctrlProp" Target="../ctrlProps/ctrlProp514.xm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30.xml"/><Relationship Id="rId18" Type="http://schemas.openxmlformats.org/officeDocument/2006/relationships/ctrlProp" Target="../ctrlProps/ctrlProp535.xml"/><Relationship Id="rId26" Type="http://schemas.openxmlformats.org/officeDocument/2006/relationships/ctrlProp" Target="../ctrlProps/ctrlProp543.xml"/><Relationship Id="rId39" Type="http://schemas.openxmlformats.org/officeDocument/2006/relationships/ctrlProp" Target="../ctrlProps/ctrlProp556.xml"/><Relationship Id="rId21" Type="http://schemas.openxmlformats.org/officeDocument/2006/relationships/ctrlProp" Target="../ctrlProps/ctrlProp538.xml"/><Relationship Id="rId34" Type="http://schemas.openxmlformats.org/officeDocument/2006/relationships/ctrlProp" Target="../ctrlProps/ctrlProp551.xml"/><Relationship Id="rId42" Type="http://schemas.openxmlformats.org/officeDocument/2006/relationships/ctrlProp" Target="../ctrlProps/ctrlProp559.xml"/><Relationship Id="rId47" Type="http://schemas.openxmlformats.org/officeDocument/2006/relationships/ctrlProp" Target="../ctrlProps/ctrlProp564.xml"/><Relationship Id="rId50" Type="http://schemas.openxmlformats.org/officeDocument/2006/relationships/ctrlProp" Target="../ctrlProps/ctrlProp567.xml"/><Relationship Id="rId55" Type="http://schemas.openxmlformats.org/officeDocument/2006/relationships/ctrlProp" Target="../ctrlProps/ctrlProp572.xml"/><Relationship Id="rId7" Type="http://schemas.openxmlformats.org/officeDocument/2006/relationships/ctrlProp" Target="../ctrlProps/ctrlProp524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533.xml"/><Relationship Id="rId29" Type="http://schemas.openxmlformats.org/officeDocument/2006/relationships/ctrlProp" Target="../ctrlProps/ctrlProp546.xml"/><Relationship Id="rId11" Type="http://schemas.openxmlformats.org/officeDocument/2006/relationships/ctrlProp" Target="../ctrlProps/ctrlProp528.xml"/><Relationship Id="rId24" Type="http://schemas.openxmlformats.org/officeDocument/2006/relationships/ctrlProp" Target="../ctrlProps/ctrlProp541.xml"/><Relationship Id="rId32" Type="http://schemas.openxmlformats.org/officeDocument/2006/relationships/ctrlProp" Target="../ctrlProps/ctrlProp549.xml"/><Relationship Id="rId37" Type="http://schemas.openxmlformats.org/officeDocument/2006/relationships/ctrlProp" Target="../ctrlProps/ctrlProp554.xml"/><Relationship Id="rId40" Type="http://schemas.openxmlformats.org/officeDocument/2006/relationships/ctrlProp" Target="../ctrlProps/ctrlProp557.xml"/><Relationship Id="rId45" Type="http://schemas.openxmlformats.org/officeDocument/2006/relationships/ctrlProp" Target="../ctrlProps/ctrlProp562.xml"/><Relationship Id="rId53" Type="http://schemas.openxmlformats.org/officeDocument/2006/relationships/ctrlProp" Target="../ctrlProps/ctrlProp570.xml"/><Relationship Id="rId5" Type="http://schemas.openxmlformats.org/officeDocument/2006/relationships/ctrlProp" Target="../ctrlProps/ctrlProp522.xml"/><Relationship Id="rId10" Type="http://schemas.openxmlformats.org/officeDocument/2006/relationships/ctrlProp" Target="../ctrlProps/ctrlProp527.xml"/><Relationship Id="rId19" Type="http://schemas.openxmlformats.org/officeDocument/2006/relationships/ctrlProp" Target="../ctrlProps/ctrlProp536.xml"/><Relationship Id="rId31" Type="http://schemas.openxmlformats.org/officeDocument/2006/relationships/ctrlProp" Target="../ctrlProps/ctrlProp548.xml"/><Relationship Id="rId44" Type="http://schemas.openxmlformats.org/officeDocument/2006/relationships/ctrlProp" Target="../ctrlProps/ctrlProp561.xml"/><Relationship Id="rId52" Type="http://schemas.openxmlformats.org/officeDocument/2006/relationships/ctrlProp" Target="../ctrlProps/ctrlProp569.xml"/><Relationship Id="rId4" Type="http://schemas.openxmlformats.org/officeDocument/2006/relationships/ctrlProp" Target="../ctrlProps/ctrlProp521.xml"/><Relationship Id="rId9" Type="http://schemas.openxmlformats.org/officeDocument/2006/relationships/ctrlProp" Target="../ctrlProps/ctrlProp526.xml"/><Relationship Id="rId14" Type="http://schemas.openxmlformats.org/officeDocument/2006/relationships/ctrlProp" Target="../ctrlProps/ctrlProp531.xml"/><Relationship Id="rId22" Type="http://schemas.openxmlformats.org/officeDocument/2006/relationships/ctrlProp" Target="../ctrlProps/ctrlProp539.xml"/><Relationship Id="rId27" Type="http://schemas.openxmlformats.org/officeDocument/2006/relationships/ctrlProp" Target="../ctrlProps/ctrlProp544.xml"/><Relationship Id="rId30" Type="http://schemas.openxmlformats.org/officeDocument/2006/relationships/ctrlProp" Target="../ctrlProps/ctrlProp547.xml"/><Relationship Id="rId35" Type="http://schemas.openxmlformats.org/officeDocument/2006/relationships/ctrlProp" Target="../ctrlProps/ctrlProp552.xml"/><Relationship Id="rId43" Type="http://schemas.openxmlformats.org/officeDocument/2006/relationships/ctrlProp" Target="../ctrlProps/ctrlProp560.xml"/><Relationship Id="rId48" Type="http://schemas.openxmlformats.org/officeDocument/2006/relationships/ctrlProp" Target="../ctrlProps/ctrlProp565.xml"/><Relationship Id="rId8" Type="http://schemas.openxmlformats.org/officeDocument/2006/relationships/ctrlProp" Target="../ctrlProps/ctrlProp525.xml"/><Relationship Id="rId51" Type="http://schemas.openxmlformats.org/officeDocument/2006/relationships/ctrlProp" Target="../ctrlProps/ctrlProp568.xml"/><Relationship Id="rId3" Type="http://schemas.openxmlformats.org/officeDocument/2006/relationships/vmlDrawing" Target="../drawings/vmlDrawing11.vml"/><Relationship Id="rId12" Type="http://schemas.openxmlformats.org/officeDocument/2006/relationships/ctrlProp" Target="../ctrlProps/ctrlProp529.xml"/><Relationship Id="rId17" Type="http://schemas.openxmlformats.org/officeDocument/2006/relationships/ctrlProp" Target="../ctrlProps/ctrlProp534.xml"/><Relationship Id="rId25" Type="http://schemas.openxmlformats.org/officeDocument/2006/relationships/ctrlProp" Target="../ctrlProps/ctrlProp542.xml"/><Relationship Id="rId33" Type="http://schemas.openxmlformats.org/officeDocument/2006/relationships/ctrlProp" Target="../ctrlProps/ctrlProp550.xml"/><Relationship Id="rId38" Type="http://schemas.openxmlformats.org/officeDocument/2006/relationships/ctrlProp" Target="../ctrlProps/ctrlProp555.xml"/><Relationship Id="rId46" Type="http://schemas.openxmlformats.org/officeDocument/2006/relationships/ctrlProp" Target="../ctrlProps/ctrlProp563.xml"/><Relationship Id="rId20" Type="http://schemas.openxmlformats.org/officeDocument/2006/relationships/ctrlProp" Target="../ctrlProps/ctrlProp537.xml"/><Relationship Id="rId41" Type="http://schemas.openxmlformats.org/officeDocument/2006/relationships/ctrlProp" Target="../ctrlProps/ctrlProp558.xml"/><Relationship Id="rId54" Type="http://schemas.openxmlformats.org/officeDocument/2006/relationships/ctrlProp" Target="../ctrlProps/ctrlProp57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23.xml"/><Relationship Id="rId15" Type="http://schemas.openxmlformats.org/officeDocument/2006/relationships/ctrlProp" Target="../ctrlProps/ctrlProp532.xml"/><Relationship Id="rId23" Type="http://schemas.openxmlformats.org/officeDocument/2006/relationships/ctrlProp" Target="../ctrlProps/ctrlProp540.xml"/><Relationship Id="rId28" Type="http://schemas.openxmlformats.org/officeDocument/2006/relationships/ctrlProp" Target="../ctrlProps/ctrlProp545.xml"/><Relationship Id="rId36" Type="http://schemas.openxmlformats.org/officeDocument/2006/relationships/ctrlProp" Target="../ctrlProps/ctrlProp553.xml"/><Relationship Id="rId49" Type="http://schemas.openxmlformats.org/officeDocument/2006/relationships/ctrlProp" Target="../ctrlProps/ctrlProp566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82.xml"/><Relationship Id="rId18" Type="http://schemas.openxmlformats.org/officeDocument/2006/relationships/ctrlProp" Target="../ctrlProps/ctrlProp587.xml"/><Relationship Id="rId26" Type="http://schemas.openxmlformats.org/officeDocument/2006/relationships/ctrlProp" Target="../ctrlProps/ctrlProp595.xml"/><Relationship Id="rId39" Type="http://schemas.openxmlformats.org/officeDocument/2006/relationships/ctrlProp" Target="../ctrlProps/ctrlProp608.xml"/><Relationship Id="rId21" Type="http://schemas.openxmlformats.org/officeDocument/2006/relationships/ctrlProp" Target="../ctrlProps/ctrlProp590.xml"/><Relationship Id="rId34" Type="http://schemas.openxmlformats.org/officeDocument/2006/relationships/ctrlProp" Target="../ctrlProps/ctrlProp603.xml"/><Relationship Id="rId42" Type="http://schemas.openxmlformats.org/officeDocument/2006/relationships/ctrlProp" Target="../ctrlProps/ctrlProp611.xml"/><Relationship Id="rId47" Type="http://schemas.openxmlformats.org/officeDocument/2006/relationships/ctrlProp" Target="../ctrlProps/ctrlProp616.xml"/><Relationship Id="rId50" Type="http://schemas.openxmlformats.org/officeDocument/2006/relationships/ctrlProp" Target="../ctrlProps/ctrlProp619.xml"/><Relationship Id="rId55" Type="http://schemas.openxmlformats.org/officeDocument/2006/relationships/ctrlProp" Target="../ctrlProps/ctrlProp624.xml"/><Relationship Id="rId7" Type="http://schemas.openxmlformats.org/officeDocument/2006/relationships/ctrlProp" Target="../ctrlProps/ctrlProp576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585.xml"/><Relationship Id="rId29" Type="http://schemas.openxmlformats.org/officeDocument/2006/relationships/ctrlProp" Target="../ctrlProps/ctrlProp598.xml"/><Relationship Id="rId11" Type="http://schemas.openxmlformats.org/officeDocument/2006/relationships/ctrlProp" Target="../ctrlProps/ctrlProp580.xml"/><Relationship Id="rId24" Type="http://schemas.openxmlformats.org/officeDocument/2006/relationships/ctrlProp" Target="../ctrlProps/ctrlProp593.xml"/><Relationship Id="rId32" Type="http://schemas.openxmlformats.org/officeDocument/2006/relationships/ctrlProp" Target="../ctrlProps/ctrlProp601.xml"/><Relationship Id="rId37" Type="http://schemas.openxmlformats.org/officeDocument/2006/relationships/ctrlProp" Target="../ctrlProps/ctrlProp606.xml"/><Relationship Id="rId40" Type="http://schemas.openxmlformats.org/officeDocument/2006/relationships/ctrlProp" Target="../ctrlProps/ctrlProp609.xml"/><Relationship Id="rId45" Type="http://schemas.openxmlformats.org/officeDocument/2006/relationships/ctrlProp" Target="../ctrlProps/ctrlProp614.xml"/><Relationship Id="rId53" Type="http://schemas.openxmlformats.org/officeDocument/2006/relationships/ctrlProp" Target="../ctrlProps/ctrlProp622.xml"/><Relationship Id="rId5" Type="http://schemas.openxmlformats.org/officeDocument/2006/relationships/ctrlProp" Target="../ctrlProps/ctrlProp574.xml"/><Relationship Id="rId10" Type="http://schemas.openxmlformats.org/officeDocument/2006/relationships/ctrlProp" Target="../ctrlProps/ctrlProp579.xml"/><Relationship Id="rId19" Type="http://schemas.openxmlformats.org/officeDocument/2006/relationships/ctrlProp" Target="../ctrlProps/ctrlProp588.xml"/><Relationship Id="rId31" Type="http://schemas.openxmlformats.org/officeDocument/2006/relationships/ctrlProp" Target="../ctrlProps/ctrlProp600.xml"/><Relationship Id="rId44" Type="http://schemas.openxmlformats.org/officeDocument/2006/relationships/ctrlProp" Target="../ctrlProps/ctrlProp613.xml"/><Relationship Id="rId52" Type="http://schemas.openxmlformats.org/officeDocument/2006/relationships/ctrlProp" Target="../ctrlProps/ctrlProp621.xml"/><Relationship Id="rId4" Type="http://schemas.openxmlformats.org/officeDocument/2006/relationships/ctrlProp" Target="../ctrlProps/ctrlProp573.xml"/><Relationship Id="rId9" Type="http://schemas.openxmlformats.org/officeDocument/2006/relationships/ctrlProp" Target="../ctrlProps/ctrlProp578.xml"/><Relationship Id="rId14" Type="http://schemas.openxmlformats.org/officeDocument/2006/relationships/ctrlProp" Target="../ctrlProps/ctrlProp583.xml"/><Relationship Id="rId22" Type="http://schemas.openxmlformats.org/officeDocument/2006/relationships/ctrlProp" Target="../ctrlProps/ctrlProp591.xml"/><Relationship Id="rId27" Type="http://schemas.openxmlformats.org/officeDocument/2006/relationships/ctrlProp" Target="../ctrlProps/ctrlProp596.xml"/><Relationship Id="rId30" Type="http://schemas.openxmlformats.org/officeDocument/2006/relationships/ctrlProp" Target="../ctrlProps/ctrlProp599.xml"/><Relationship Id="rId35" Type="http://schemas.openxmlformats.org/officeDocument/2006/relationships/ctrlProp" Target="../ctrlProps/ctrlProp604.xml"/><Relationship Id="rId43" Type="http://schemas.openxmlformats.org/officeDocument/2006/relationships/ctrlProp" Target="../ctrlProps/ctrlProp612.xml"/><Relationship Id="rId48" Type="http://schemas.openxmlformats.org/officeDocument/2006/relationships/ctrlProp" Target="../ctrlProps/ctrlProp617.xml"/><Relationship Id="rId8" Type="http://schemas.openxmlformats.org/officeDocument/2006/relationships/ctrlProp" Target="../ctrlProps/ctrlProp577.xml"/><Relationship Id="rId51" Type="http://schemas.openxmlformats.org/officeDocument/2006/relationships/ctrlProp" Target="../ctrlProps/ctrlProp620.xml"/><Relationship Id="rId3" Type="http://schemas.openxmlformats.org/officeDocument/2006/relationships/vmlDrawing" Target="../drawings/vmlDrawing12.vml"/><Relationship Id="rId12" Type="http://schemas.openxmlformats.org/officeDocument/2006/relationships/ctrlProp" Target="../ctrlProps/ctrlProp581.xml"/><Relationship Id="rId17" Type="http://schemas.openxmlformats.org/officeDocument/2006/relationships/ctrlProp" Target="../ctrlProps/ctrlProp586.xml"/><Relationship Id="rId25" Type="http://schemas.openxmlformats.org/officeDocument/2006/relationships/ctrlProp" Target="../ctrlProps/ctrlProp594.xml"/><Relationship Id="rId33" Type="http://schemas.openxmlformats.org/officeDocument/2006/relationships/ctrlProp" Target="../ctrlProps/ctrlProp602.xml"/><Relationship Id="rId38" Type="http://schemas.openxmlformats.org/officeDocument/2006/relationships/ctrlProp" Target="../ctrlProps/ctrlProp607.xml"/><Relationship Id="rId46" Type="http://schemas.openxmlformats.org/officeDocument/2006/relationships/ctrlProp" Target="../ctrlProps/ctrlProp615.xml"/><Relationship Id="rId20" Type="http://schemas.openxmlformats.org/officeDocument/2006/relationships/ctrlProp" Target="../ctrlProps/ctrlProp589.xml"/><Relationship Id="rId41" Type="http://schemas.openxmlformats.org/officeDocument/2006/relationships/ctrlProp" Target="../ctrlProps/ctrlProp610.xml"/><Relationship Id="rId54" Type="http://schemas.openxmlformats.org/officeDocument/2006/relationships/ctrlProp" Target="../ctrlProps/ctrlProp623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575.xml"/><Relationship Id="rId15" Type="http://schemas.openxmlformats.org/officeDocument/2006/relationships/ctrlProp" Target="../ctrlProps/ctrlProp584.xml"/><Relationship Id="rId23" Type="http://schemas.openxmlformats.org/officeDocument/2006/relationships/ctrlProp" Target="../ctrlProps/ctrlProp592.xml"/><Relationship Id="rId28" Type="http://schemas.openxmlformats.org/officeDocument/2006/relationships/ctrlProp" Target="../ctrlProps/ctrlProp597.xml"/><Relationship Id="rId36" Type="http://schemas.openxmlformats.org/officeDocument/2006/relationships/ctrlProp" Target="../ctrlProps/ctrlProp605.xml"/><Relationship Id="rId49" Type="http://schemas.openxmlformats.org/officeDocument/2006/relationships/ctrlProp" Target="../ctrlProps/ctrlProp618.xm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34.xml"/><Relationship Id="rId18" Type="http://schemas.openxmlformats.org/officeDocument/2006/relationships/ctrlProp" Target="../ctrlProps/ctrlProp639.xml"/><Relationship Id="rId26" Type="http://schemas.openxmlformats.org/officeDocument/2006/relationships/ctrlProp" Target="../ctrlProps/ctrlProp647.xml"/><Relationship Id="rId39" Type="http://schemas.openxmlformats.org/officeDocument/2006/relationships/ctrlProp" Target="../ctrlProps/ctrlProp660.xml"/><Relationship Id="rId21" Type="http://schemas.openxmlformats.org/officeDocument/2006/relationships/ctrlProp" Target="../ctrlProps/ctrlProp642.xml"/><Relationship Id="rId34" Type="http://schemas.openxmlformats.org/officeDocument/2006/relationships/ctrlProp" Target="../ctrlProps/ctrlProp655.xml"/><Relationship Id="rId42" Type="http://schemas.openxmlformats.org/officeDocument/2006/relationships/ctrlProp" Target="../ctrlProps/ctrlProp663.xml"/><Relationship Id="rId47" Type="http://schemas.openxmlformats.org/officeDocument/2006/relationships/ctrlProp" Target="../ctrlProps/ctrlProp668.xml"/><Relationship Id="rId50" Type="http://schemas.openxmlformats.org/officeDocument/2006/relationships/ctrlProp" Target="../ctrlProps/ctrlProp671.xml"/><Relationship Id="rId55" Type="http://schemas.openxmlformats.org/officeDocument/2006/relationships/ctrlProp" Target="../ctrlProps/ctrlProp676.xml"/><Relationship Id="rId7" Type="http://schemas.openxmlformats.org/officeDocument/2006/relationships/ctrlProp" Target="../ctrlProps/ctrlProp628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637.xml"/><Relationship Id="rId29" Type="http://schemas.openxmlformats.org/officeDocument/2006/relationships/ctrlProp" Target="../ctrlProps/ctrlProp650.xml"/><Relationship Id="rId11" Type="http://schemas.openxmlformats.org/officeDocument/2006/relationships/ctrlProp" Target="../ctrlProps/ctrlProp632.xml"/><Relationship Id="rId24" Type="http://schemas.openxmlformats.org/officeDocument/2006/relationships/ctrlProp" Target="../ctrlProps/ctrlProp645.xml"/><Relationship Id="rId32" Type="http://schemas.openxmlformats.org/officeDocument/2006/relationships/ctrlProp" Target="../ctrlProps/ctrlProp653.xml"/><Relationship Id="rId37" Type="http://schemas.openxmlformats.org/officeDocument/2006/relationships/ctrlProp" Target="../ctrlProps/ctrlProp658.xml"/><Relationship Id="rId40" Type="http://schemas.openxmlformats.org/officeDocument/2006/relationships/ctrlProp" Target="../ctrlProps/ctrlProp661.xml"/><Relationship Id="rId45" Type="http://schemas.openxmlformats.org/officeDocument/2006/relationships/ctrlProp" Target="../ctrlProps/ctrlProp666.xml"/><Relationship Id="rId53" Type="http://schemas.openxmlformats.org/officeDocument/2006/relationships/ctrlProp" Target="../ctrlProps/ctrlProp674.xml"/><Relationship Id="rId5" Type="http://schemas.openxmlformats.org/officeDocument/2006/relationships/ctrlProp" Target="../ctrlProps/ctrlProp626.xml"/><Relationship Id="rId10" Type="http://schemas.openxmlformats.org/officeDocument/2006/relationships/ctrlProp" Target="../ctrlProps/ctrlProp631.xml"/><Relationship Id="rId19" Type="http://schemas.openxmlformats.org/officeDocument/2006/relationships/ctrlProp" Target="../ctrlProps/ctrlProp640.xml"/><Relationship Id="rId31" Type="http://schemas.openxmlformats.org/officeDocument/2006/relationships/ctrlProp" Target="../ctrlProps/ctrlProp652.xml"/><Relationship Id="rId44" Type="http://schemas.openxmlformats.org/officeDocument/2006/relationships/ctrlProp" Target="../ctrlProps/ctrlProp665.xml"/><Relationship Id="rId52" Type="http://schemas.openxmlformats.org/officeDocument/2006/relationships/ctrlProp" Target="../ctrlProps/ctrlProp673.xml"/><Relationship Id="rId4" Type="http://schemas.openxmlformats.org/officeDocument/2006/relationships/ctrlProp" Target="../ctrlProps/ctrlProp625.xml"/><Relationship Id="rId9" Type="http://schemas.openxmlformats.org/officeDocument/2006/relationships/ctrlProp" Target="../ctrlProps/ctrlProp630.xml"/><Relationship Id="rId14" Type="http://schemas.openxmlformats.org/officeDocument/2006/relationships/ctrlProp" Target="../ctrlProps/ctrlProp635.xml"/><Relationship Id="rId22" Type="http://schemas.openxmlformats.org/officeDocument/2006/relationships/ctrlProp" Target="../ctrlProps/ctrlProp643.xml"/><Relationship Id="rId27" Type="http://schemas.openxmlformats.org/officeDocument/2006/relationships/ctrlProp" Target="../ctrlProps/ctrlProp648.xml"/><Relationship Id="rId30" Type="http://schemas.openxmlformats.org/officeDocument/2006/relationships/ctrlProp" Target="../ctrlProps/ctrlProp651.xml"/><Relationship Id="rId35" Type="http://schemas.openxmlformats.org/officeDocument/2006/relationships/ctrlProp" Target="../ctrlProps/ctrlProp656.xml"/><Relationship Id="rId43" Type="http://schemas.openxmlformats.org/officeDocument/2006/relationships/ctrlProp" Target="../ctrlProps/ctrlProp664.xml"/><Relationship Id="rId48" Type="http://schemas.openxmlformats.org/officeDocument/2006/relationships/ctrlProp" Target="../ctrlProps/ctrlProp669.xml"/><Relationship Id="rId8" Type="http://schemas.openxmlformats.org/officeDocument/2006/relationships/ctrlProp" Target="../ctrlProps/ctrlProp629.xml"/><Relationship Id="rId51" Type="http://schemas.openxmlformats.org/officeDocument/2006/relationships/ctrlProp" Target="../ctrlProps/ctrlProp672.xml"/><Relationship Id="rId3" Type="http://schemas.openxmlformats.org/officeDocument/2006/relationships/vmlDrawing" Target="../drawings/vmlDrawing13.vml"/><Relationship Id="rId12" Type="http://schemas.openxmlformats.org/officeDocument/2006/relationships/ctrlProp" Target="../ctrlProps/ctrlProp633.xml"/><Relationship Id="rId17" Type="http://schemas.openxmlformats.org/officeDocument/2006/relationships/ctrlProp" Target="../ctrlProps/ctrlProp638.xml"/><Relationship Id="rId25" Type="http://schemas.openxmlformats.org/officeDocument/2006/relationships/ctrlProp" Target="../ctrlProps/ctrlProp646.xml"/><Relationship Id="rId33" Type="http://schemas.openxmlformats.org/officeDocument/2006/relationships/ctrlProp" Target="../ctrlProps/ctrlProp654.xml"/><Relationship Id="rId38" Type="http://schemas.openxmlformats.org/officeDocument/2006/relationships/ctrlProp" Target="../ctrlProps/ctrlProp659.xml"/><Relationship Id="rId46" Type="http://schemas.openxmlformats.org/officeDocument/2006/relationships/ctrlProp" Target="../ctrlProps/ctrlProp667.xml"/><Relationship Id="rId20" Type="http://schemas.openxmlformats.org/officeDocument/2006/relationships/ctrlProp" Target="../ctrlProps/ctrlProp641.xml"/><Relationship Id="rId41" Type="http://schemas.openxmlformats.org/officeDocument/2006/relationships/ctrlProp" Target="../ctrlProps/ctrlProp662.xml"/><Relationship Id="rId54" Type="http://schemas.openxmlformats.org/officeDocument/2006/relationships/ctrlProp" Target="../ctrlProps/ctrlProp675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627.xml"/><Relationship Id="rId15" Type="http://schemas.openxmlformats.org/officeDocument/2006/relationships/ctrlProp" Target="../ctrlProps/ctrlProp636.xml"/><Relationship Id="rId23" Type="http://schemas.openxmlformats.org/officeDocument/2006/relationships/ctrlProp" Target="../ctrlProps/ctrlProp644.xml"/><Relationship Id="rId28" Type="http://schemas.openxmlformats.org/officeDocument/2006/relationships/ctrlProp" Target="../ctrlProps/ctrlProp649.xml"/><Relationship Id="rId36" Type="http://schemas.openxmlformats.org/officeDocument/2006/relationships/ctrlProp" Target="../ctrlProps/ctrlProp657.xml"/><Relationship Id="rId49" Type="http://schemas.openxmlformats.org/officeDocument/2006/relationships/ctrlProp" Target="../ctrlProps/ctrlProp670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86.xml"/><Relationship Id="rId18" Type="http://schemas.openxmlformats.org/officeDocument/2006/relationships/ctrlProp" Target="../ctrlProps/ctrlProp691.xml"/><Relationship Id="rId26" Type="http://schemas.openxmlformats.org/officeDocument/2006/relationships/ctrlProp" Target="../ctrlProps/ctrlProp699.xml"/><Relationship Id="rId39" Type="http://schemas.openxmlformats.org/officeDocument/2006/relationships/ctrlProp" Target="../ctrlProps/ctrlProp712.xml"/><Relationship Id="rId21" Type="http://schemas.openxmlformats.org/officeDocument/2006/relationships/ctrlProp" Target="../ctrlProps/ctrlProp694.xml"/><Relationship Id="rId34" Type="http://schemas.openxmlformats.org/officeDocument/2006/relationships/ctrlProp" Target="../ctrlProps/ctrlProp707.xml"/><Relationship Id="rId42" Type="http://schemas.openxmlformats.org/officeDocument/2006/relationships/ctrlProp" Target="../ctrlProps/ctrlProp715.xml"/><Relationship Id="rId47" Type="http://schemas.openxmlformats.org/officeDocument/2006/relationships/ctrlProp" Target="../ctrlProps/ctrlProp720.xml"/><Relationship Id="rId50" Type="http://schemas.openxmlformats.org/officeDocument/2006/relationships/ctrlProp" Target="../ctrlProps/ctrlProp723.xml"/><Relationship Id="rId55" Type="http://schemas.openxmlformats.org/officeDocument/2006/relationships/ctrlProp" Target="../ctrlProps/ctrlProp728.xml"/><Relationship Id="rId7" Type="http://schemas.openxmlformats.org/officeDocument/2006/relationships/ctrlProp" Target="../ctrlProps/ctrlProp680.xml"/><Relationship Id="rId2" Type="http://schemas.openxmlformats.org/officeDocument/2006/relationships/drawing" Target="../drawings/drawing14.xml"/><Relationship Id="rId16" Type="http://schemas.openxmlformats.org/officeDocument/2006/relationships/ctrlProp" Target="../ctrlProps/ctrlProp689.xml"/><Relationship Id="rId29" Type="http://schemas.openxmlformats.org/officeDocument/2006/relationships/ctrlProp" Target="../ctrlProps/ctrlProp702.xml"/><Relationship Id="rId11" Type="http://schemas.openxmlformats.org/officeDocument/2006/relationships/ctrlProp" Target="../ctrlProps/ctrlProp684.xml"/><Relationship Id="rId24" Type="http://schemas.openxmlformats.org/officeDocument/2006/relationships/ctrlProp" Target="../ctrlProps/ctrlProp697.xml"/><Relationship Id="rId32" Type="http://schemas.openxmlformats.org/officeDocument/2006/relationships/ctrlProp" Target="../ctrlProps/ctrlProp705.xml"/><Relationship Id="rId37" Type="http://schemas.openxmlformats.org/officeDocument/2006/relationships/ctrlProp" Target="../ctrlProps/ctrlProp710.xml"/><Relationship Id="rId40" Type="http://schemas.openxmlformats.org/officeDocument/2006/relationships/ctrlProp" Target="../ctrlProps/ctrlProp713.xml"/><Relationship Id="rId45" Type="http://schemas.openxmlformats.org/officeDocument/2006/relationships/ctrlProp" Target="../ctrlProps/ctrlProp718.xml"/><Relationship Id="rId53" Type="http://schemas.openxmlformats.org/officeDocument/2006/relationships/ctrlProp" Target="../ctrlProps/ctrlProp726.xml"/><Relationship Id="rId5" Type="http://schemas.openxmlformats.org/officeDocument/2006/relationships/ctrlProp" Target="../ctrlProps/ctrlProp678.xml"/><Relationship Id="rId10" Type="http://schemas.openxmlformats.org/officeDocument/2006/relationships/ctrlProp" Target="../ctrlProps/ctrlProp683.xml"/><Relationship Id="rId19" Type="http://schemas.openxmlformats.org/officeDocument/2006/relationships/ctrlProp" Target="../ctrlProps/ctrlProp692.xml"/><Relationship Id="rId31" Type="http://schemas.openxmlformats.org/officeDocument/2006/relationships/ctrlProp" Target="../ctrlProps/ctrlProp704.xml"/><Relationship Id="rId44" Type="http://schemas.openxmlformats.org/officeDocument/2006/relationships/ctrlProp" Target="../ctrlProps/ctrlProp717.xml"/><Relationship Id="rId52" Type="http://schemas.openxmlformats.org/officeDocument/2006/relationships/ctrlProp" Target="../ctrlProps/ctrlProp725.xml"/><Relationship Id="rId4" Type="http://schemas.openxmlformats.org/officeDocument/2006/relationships/ctrlProp" Target="../ctrlProps/ctrlProp677.xml"/><Relationship Id="rId9" Type="http://schemas.openxmlformats.org/officeDocument/2006/relationships/ctrlProp" Target="../ctrlProps/ctrlProp682.xml"/><Relationship Id="rId14" Type="http://schemas.openxmlformats.org/officeDocument/2006/relationships/ctrlProp" Target="../ctrlProps/ctrlProp687.xml"/><Relationship Id="rId22" Type="http://schemas.openxmlformats.org/officeDocument/2006/relationships/ctrlProp" Target="../ctrlProps/ctrlProp695.xml"/><Relationship Id="rId27" Type="http://schemas.openxmlformats.org/officeDocument/2006/relationships/ctrlProp" Target="../ctrlProps/ctrlProp700.xml"/><Relationship Id="rId30" Type="http://schemas.openxmlformats.org/officeDocument/2006/relationships/ctrlProp" Target="../ctrlProps/ctrlProp703.xml"/><Relationship Id="rId35" Type="http://schemas.openxmlformats.org/officeDocument/2006/relationships/ctrlProp" Target="../ctrlProps/ctrlProp708.xml"/><Relationship Id="rId43" Type="http://schemas.openxmlformats.org/officeDocument/2006/relationships/ctrlProp" Target="../ctrlProps/ctrlProp716.xml"/><Relationship Id="rId48" Type="http://schemas.openxmlformats.org/officeDocument/2006/relationships/ctrlProp" Target="../ctrlProps/ctrlProp721.xml"/><Relationship Id="rId8" Type="http://schemas.openxmlformats.org/officeDocument/2006/relationships/ctrlProp" Target="../ctrlProps/ctrlProp681.xml"/><Relationship Id="rId51" Type="http://schemas.openxmlformats.org/officeDocument/2006/relationships/ctrlProp" Target="../ctrlProps/ctrlProp724.xml"/><Relationship Id="rId3" Type="http://schemas.openxmlformats.org/officeDocument/2006/relationships/vmlDrawing" Target="../drawings/vmlDrawing14.vml"/><Relationship Id="rId12" Type="http://schemas.openxmlformats.org/officeDocument/2006/relationships/ctrlProp" Target="../ctrlProps/ctrlProp685.xml"/><Relationship Id="rId17" Type="http://schemas.openxmlformats.org/officeDocument/2006/relationships/ctrlProp" Target="../ctrlProps/ctrlProp690.xml"/><Relationship Id="rId25" Type="http://schemas.openxmlformats.org/officeDocument/2006/relationships/ctrlProp" Target="../ctrlProps/ctrlProp698.xml"/><Relationship Id="rId33" Type="http://schemas.openxmlformats.org/officeDocument/2006/relationships/ctrlProp" Target="../ctrlProps/ctrlProp706.xml"/><Relationship Id="rId38" Type="http://schemas.openxmlformats.org/officeDocument/2006/relationships/ctrlProp" Target="../ctrlProps/ctrlProp711.xml"/><Relationship Id="rId46" Type="http://schemas.openxmlformats.org/officeDocument/2006/relationships/ctrlProp" Target="../ctrlProps/ctrlProp719.xml"/><Relationship Id="rId20" Type="http://schemas.openxmlformats.org/officeDocument/2006/relationships/ctrlProp" Target="../ctrlProps/ctrlProp693.xml"/><Relationship Id="rId41" Type="http://schemas.openxmlformats.org/officeDocument/2006/relationships/ctrlProp" Target="../ctrlProps/ctrlProp714.xml"/><Relationship Id="rId54" Type="http://schemas.openxmlformats.org/officeDocument/2006/relationships/ctrlProp" Target="../ctrlProps/ctrlProp727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679.xml"/><Relationship Id="rId15" Type="http://schemas.openxmlformats.org/officeDocument/2006/relationships/ctrlProp" Target="../ctrlProps/ctrlProp688.xml"/><Relationship Id="rId23" Type="http://schemas.openxmlformats.org/officeDocument/2006/relationships/ctrlProp" Target="../ctrlProps/ctrlProp696.xml"/><Relationship Id="rId28" Type="http://schemas.openxmlformats.org/officeDocument/2006/relationships/ctrlProp" Target="../ctrlProps/ctrlProp701.xml"/><Relationship Id="rId36" Type="http://schemas.openxmlformats.org/officeDocument/2006/relationships/ctrlProp" Target="../ctrlProps/ctrlProp709.xml"/><Relationship Id="rId49" Type="http://schemas.openxmlformats.org/officeDocument/2006/relationships/ctrlProp" Target="../ctrlProps/ctrlProp722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38.xml"/><Relationship Id="rId18" Type="http://schemas.openxmlformats.org/officeDocument/2006/relationships/ctrlProp" Target="../ctrlProps/ctrlProp743.xml"/><Relationship Id="rId26" Type="http://schemas.openxmlformats.org/officeDocument/2006/relationships/ctrlProp" Target="../ctrlProps/ctrlProp751.xml"/><Relationship Id="rId39" Type="http://schemas.openxmlformats.org/officeDocument/2006/relationships/ctrlProp" Target="../ctrlProps/ctrlProp764.xml"/><Relationship Id="rId21" Type="http://schemas.openxmlformats.org/officeDocument/2006/relationships/ctrlProp" Target="../ctrlProps/ctrlProp746.xml"/><Relationship Id="rId34" Type="http://schemas.openxmlformats.org/officeDocument/2006/relationships/ctrlProp" Target="../ctrlProps/ctrlProp759.xml"/><Relationship Id="rId42" Type="http://schemas.openxmlformats.org/officeDocument/2006/relationships/ctrlProp" Target="../ctrlProps/ctrlProp767.xml"/><Relationship Id="rId47" Type="http://schemas.openxmlformats.org/officeDocument/2006/relationships/ctrlProp" Target="../ctrlProps/ctrlProp772.xml"/><Relationship Id="rId50" Type="http://schemas.openxmlformats.org/officeDocument/2006/relationships/ctrlProp" Target="../ctrlProps/ctrlProp775.xml"/><Relationship Id="rId55" Type="http://schemas.openxmlformats.org/officeDocument/2006/relationships/ctrlProp" Target="../ctrlProps/ctrlProp780.xml"/><Relationship Id="rId7" Type="http://schemas.openxmlformats.org/officeDocument/2006/relationships/ctrlProp" Target="../ctrlProps/ctrlProp732.xml"/><Relationship Id="rId2" Type="http://schemas.openxmlformats.org/officeDocument/2006/relationships/drawing" Target="../drawings/drawing15.xml"/><Relationship Id="rId16" Type="http://schemas.openxmlformats.org/officeDocument/2006/relationships/ctrlProp" Target="../ctrlProps/ctrlProp741.xml"/><Relationship Id="rId29" Type="http://schemas.openxmlformats.org/officeDocument/2006/relationships/ctrlProp" Target="../ctrlProps/ctrlProp754.xml"/><Relationship Id="rId11" Type="http://schemas.openxmlformats.org/officeDocument/2006/relationships/ctrlProp" Target="../ctrlProps/ctrlProp736.xml"/><Relationship Id="rId24" Type="http://schemas.openxmlformats.org/officeDocument/2006/relationships/ctrlProp" Target="../ctrlProps/ctrlProp749.xml"/><Relationship Id="rId32" Type="http://schemas.openxmlformats.org/officeDocument/2006/relationships/ctrlProp" Target="../ctrlProps/ctrlProp757.xml"/><Relationship Id="rId37" Type="http://schemas.openxmlformats.org/officeDocument/2006/relationships/ctrlProp" Target="../ctrlProps/ctrlProp762.xml"/><Relationship Id="rId40" Type="http://schemas.openxmlformats.org/officeDocument/2006/relationships/ctrlProp" Target="../ctrlProps/ctrlProp765.xml"/><Relationship Id="rId45" Type="http://schemas.openxmlformats.org/officeDocument/2006/relationships/ctrlProp" Target="../ctrlProps/ctrlProp770.xml"/><Relationship Id="rId53" Type="http://schemas.openxmlformats.org/officeDocument/2006/relationships/ctrlProp" Target="../ctrlProps/ctrlProp778.xml"/><Relationship Id="rId5" Type="http://schemas.openxmlformats.org/officeDocument/2006/relationships/ctrlProp" Target="../ctrlProps/ctrlProp730.xml"/><Relationship Id="rId10" Type="http://schemas.openxmlformats.org/officeDocument/2006/relationships/ctrlProp" Target="../ctrlProps/ctrlProp735.xml"/><Relationship Id="rId19" Type="http://schemas.openxmlformats.org/officeDocument/2006/relationships/ctrlProp" Target="../ctrlProps/ctrlProp744.xml"/><Relationship Id="rId31" Type="http://schemas.openxmlformats.org/officeDocument/2006/relationships/ctrlProp" Target="../ctrlProps/ctrlProp756.xml"/><Relationship Id="rId44" Type="http://schemas.openxmlformats.org/officeDocument/2006/relationships/ctrlProp" Target="../ctrlProps/ctrlProp769.xml"/><Relationship Id="rId52" Type="http://schemas.openxmlformats.org/officeDocument/2006/relationships/ctrlProp" Target="../ctrlProps/ctrlProp777.xml"/><Relationship Id="rId4" Type="http://schemas.openxmlformats.org/officeDocument/2006/relationships/ctrlProp" Target="../ctrlProps/ctrlProp729.xml"/><Relationship Id="rId9" Type="http://schemas.openxmlformats.org/officeDocument/2006/relationships/ctrlProp" Target="../ctrlProps/ctrlProp734.xml"/><Relationship Id="rId14" Type="http://schemas.openxmlformats.org/officeDocument/2006/relationships/ctrlProp" Target="../ctrlProps/ctrlProp739.xml"/><Relationship Id="rId22" Type="http://schemas.openxmlformats.org/officeDocument/2006/relationships/ctrlProp" Target="../ctrlProps/ctrlProp747.xml"/><Relationship Id="rId27" Type="http://schemas.openxmlformats.org/officeDocument/2006/relationships/ctrlProp" Target="../ctrlProps/ctrlProp752.xml"/><Relationship Id="rId30" Type="http://schemas.openxmlformats.org/officeDocument/2006/relationships/ctrlProp" Target="../ctrlProps/ctrlProp755.xml"/><Relationship Id="rId35" Type="http://schemas.openxmlformats.org/officeDocument/2006/relationships/ctrlProp" Target="../ctrlProps/ctrlProp760.xml"/><Relationship Id="rId43" Type="http://schemas.openxmlformats.org/officeDocument/2006/relationships/ctrlProp" Target="../ctrlProps/ctrlProp768.xml"/><Relationship Id="rId48" Type="http://schemas.openxmlformats.org/officeDocument/2006/relationships/ctrlProp" Target="../ctrlProps/ctrlProp773.xml"/><Relationship Id="rId8" Type="http://schemas.openxmlformats.org/officeDocument/2006/relationships/ctrlProp" Target="../ctrlProps/ctrlProp733.xml"/><Relationship Id="rId51" Type="http://schemas.openxmlformats.org/officeDocument/2006/relationships/ctrlProp" Target="../ctrlProps/ctrlProp776.xml"/><Relationship Id="rId3" Type="http://schemas.openxmlformats.org/officeDocument/2006/relationships/vmlDrawing" Target="../drawings/vmlDrawing15.vml"/><Relationship Id="rId12" Type="http://schemas.openxmlformats.org/officeDocument/2006/relationships/ctrlProp" Target="../ctrlProps/ctrlProp737.xml"/><Relationship Id="rId17" Type="http://schemas.openxmlformats.org/officeDocument/2006/relationships/ctrlProp" Target="../ctrlProps/ctrlProp742.xml"/><Relationship Id="rId25" Type="http://schemas.openxmlformats.org/officeDocument/2006/relationships/ctrlProp" Target="../ctrlProps/ctrlProp750.xml"/><Relationship Id="rId33" Type="http://schemas.openxmlformats.org/officeDocument/2006/relationships/ctrlProp" Target="../ctrlProps/ctrlProp758.xml"/><Relationship Id="rId38" Type="http://schemas.openxmlformats.org/officeDocument/2006/relationships/ctrlProp" Target="../ctrlProps/ctrlProp763.xml"/><Relationship Id="rId46" Type="http://schemas.openxmlformats.org/officeDocument/2006/relationships/ctrlProp" Target="../ctrlProps/ctrlProp771.xml"/><Relationship Id="rId20" Type="http://schemas.openxmlformats.org/officeDocument/2006/relationships/ctrlProp" Target="../ctrlProps/ctrlProp745.xml"/><Relationship Id="rId41" Type="http://schemas.openxmlformats.org/officeDocument/2006/relationships/ctrlProp" Target="../ctrlProps/ctrlProp766.xml"/><Relationship Id="rId54" Type="http://schemas.openxmlformats.org/officeDocument/2006/relationships/ctrlProp" Target="../ctrlProps/ctrlProp779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731.xml"/><Relationship Id="rId15" Type="http://schemas.openxmlformats.org/officeDocument/2006/relationships/ctrlProp" Target="../ctrlProps/ctrlProp740.xml"/><Relationship Id="rId23" Type="http://schemas.openxmlformats.org/officeDocument/2006/relationships/ctrlProp" Target="../ctrlProps/ctrlProp748.xml"/><Relationship Id="rId28" Type="http://schemas.openxmlformats.org/officeDocument/2006/relationships/ctrlProp" Target="../ctrlProps/ctrlProp753.xml"/><Relationship Id="rId36" Type="http://schemas.openxmlformats.org/officeDocument/2006/relationships/ctrlProp" Target="../ctrlProps/ctrlProp761.xml"/><Relationship Id="rId49" Type="http://schemas.openxmlformats.org/officeDocument/2006/relationships/ctrlProp" Target="../ctrlProps/ctrlProp7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EC06-0A16-4469-8B41-9F1D525DFE26}">
  <dimension ref="A1:A69"/>
  <sheetViews>
    <sheetView topLeftCell="A52" workbookViewId="0">
      <selection activeCell="F61" sqref="F61"/>
    </sheetView>
  </sheetViews>
  <sheetFormatPr defaultRowHeight="16.5"/>
  <cols>
    <col min="1" max="1" width="80.25" customWidth="1"/>
  </cols>
  <sheetData>
    <row r="1" spans="1:1">
      <c r="A1" t="s">
        <v>457</v>
      </c>
    </row>
    <row r="2" spans="1:1">
      <c r="A2" t="str" cm="1">
        <f t="array" ref="A2:A69">_xlfn._xlws.FILTER(near_miss_excel_view__2[제목] &amp; " / " &amp; TEXT(near_miss_excel_view__2[발생일시],"yyyy-mm-dd"), near_miss_excel_view__2[제목]&lt;&gt;"")</f>
        <v>우수 맨홀 뚜껑 밀림으로 전도 / 2025-01-09</v>
      </c>
    </row>
    <row r="3" spans="1:1">
      <c r="A3" t="str">
        <v>사다리에 손가락 끼임 / 2025-03-11</v>
      </c>
    </row>
    <row r="4" spans="1:1">
      <c r="A4" t="str">
        <v>작업중 위에서 떨어지는 낙화물 / 2025-03-18</v>
      </c>
    </row>
    <row r="5" spans="1:1">
      <c r="A5" t="str">
        <v>케이블 포설 중 요통발생 / 2025-03-21</v>
      </c>
    </row>
    <row r="6" spans="1:1">
      <c r="A6" t="str">
        <v>호이스트 강제개방 고장 및 추락위험 / 2025-03-26</v>
      </c>
    </row>
    <row r="7" spans="1:1">
      <c r="A7" t="str">
        <v>전기실 악세스플로어가 내려앉으면서 발이빠짐 / 2025-03-28</v>
      </c>
    </row>
    <row r="8" spans="1:1">
      <c r="A8" t="str">
        <v>세트앙카에 안전모가 부딪힐 뻔 함. / 2025-04-07</v>
      </c>
    </row>
    <row r="9" spans="1:1">
      <c r="A9" t="str">
        <v>야간 작업시 시야확보에 따른 찰과상 / 2025-04-15</v>
      </c>
    </row>
    <row r="10" spans="1:1">
      <c r="A10" t="str">
        <v>고소차량 탑승 전 안전난간 설치 중 손가락이 끼일 뻔 함 / 2025-05-07</v>
      </c>
    </row>
    <row r="11" spans="1:1">
      <c r="A11" t="str">
        <v>바닥에 있는 설비배관에 발이 걸려 넘어질 뻔함 / 2025-05-07</v>
      </c>
    </row>
    <row r="12" spans="1:1">
      <c r="A12" t="str">
        <v>TR 운반 중 바닥이 미끄러워 넘어질 뻔 함 / 2025-05-14</v>
      </c>
    </row>
    <row r="13" spans="1:1">
      <c r="A13" t="str">
        <v>크레인 케이블 수리하는 중 상부 구조물에 머리를 부딪힐 뻔함 / 2025-05-30</v>
      </c>
    </row>
    <row r="14" spans="1:1">
      <c r="A14" t="str">
        <v>케이블을 무리하게 당기다가 근육통 발생함 / 2025-06-12</v>
      </c>
    </row>
    <row r="15" spans="1:1">
      <c r="A15" t="str">
        <v>케이블 포설 중 손이 미끄러워 넘어질뻔 함 / 2025-08-01</v>
      </c>
    </row>
    <row r="16" spans="1:1">
      <c r="A16" t="str">
        <v>감전위험 / 2025-08-01</v>
      </c>
    </row>
    <row r="17" spans="1:1">
      <c r="A17" t="str">
        <v>철판 팁에 찰과상 발생 / 2025-08-06</v>
      </c>
    </row>
    <row r="18" spans="1:1">
      <c r="A18" t="str">
        <v>바닥이 미끄러워 넘어질 뻔 함 / 2025-08-07</v>
      </c>
    </row>
    <row r="19" spans="1:1">
      <c r="A19" t="str">
        <v>용접된 제품을 잡다가 화상 입을 뻔함. / 2025-08-11</v>
      </c>
    </row>
    <row r="20" spans="1:1">
      <c r="A20" t="str">
        <v>휘어진 계단 발판을 딛다가 넘어질뻔 함 / 2025-08-22</v>
      </c>
    </row>
    <row r="21" spans="1:1">
      <c r="A21" t="str">
        <v>계단 이용시 미끌림 / 2025-09-01</v>
      </c>
    </row>
    <row r="22" spans="1:1">
      <c r="A22" t="str">
        <v>야간작업시 장애물 부딫침 / 2025-09-03</v>
      </c>
    </row>
    <row r="23" spans="1:1">
      <c r="A23" t="str">
        <v>왼손으로 볼트를 풀다가 근육통 발생 / 2025-09-04</v>
      </c>
    </row>
    <row r="24" spans="1:1">
      <c r="A24" t="str">
        <v>전선관 절단부 거스러미에 손가락 베임 / 2025-09-10</v>
      </c>
    </row>
    <row r="25" spans="1:1">
      <c r="A25" t="str">
        <v>볼트 채결시 장갑 끼임 / 2025-10-20</v>
      </c>
    </row>
    <row r="26" spans="1:1">
      <c r="A26" t="str">
        <v>목재 파레트를 운반 중 나무가시에 찔림 / 2025-10-28</v>
      </c>
    </row>
    <row r="27" spans="1:1">
      <c r="A27" t="str">
        <v>젠어스(접지몰탈) 하차 중 허리 통증 발생 / 2025-10-30</v>
      </c>
    </row>
    <row r="28" spans="1:1">
      <c r="A28" t="str">
        <v>자재정리정돈중 저선관 발고 미끄러질번함 / 2025-10-31</v>
      </c>
    </row>
    <row r="29" spans="1:1">
      <c r="A29" t="str">
        <v>이동 중 미끄러져 넘어질 뻔함 / 2025-11-03</v>
      </c>
    </row>
    <row r="30" spans="1:1">
      <c r="A30" t="str">
        <v>프로브 냉각수 교체하다가 손등화상입음 / 2025-11-12</v>
      </c>
    </row>
    <row r="31" spans="1:1">
      <c r="A31" t="str">
        <v>이동 중 에어라인에 머리가 부딪힘 / 2025-11-13</v>
      </c>
    </row>
    <row r="32" spans="1:1">
      <c r="A32" t="str">
        <v>필터를 들고 가다가 에어호스에 걸려 넘어질 뻔함 / 2025-11-17</v>
      </c>
    </row>
    <row r="33" spans="1:1">
      <c r="A33" t="str">
        <v>이동중 장애물에 걸려 넘어짐 / 2025-11-18</v>
      </c>
    </row>
    <row r="34" spans="1:1">
      <c r="A34" t="str">
        <v>안전난간 미고정으로 잡다가 넘어질 뻔함. / 2025-11-19</v>
      </c>
    </row>
    <row r="35" spans="1:1">
      <c r="A35" t="str">
        <v>전기작업을 위해 천정의 텍스를 열다가 벽돌에 맞음 / 2026-01-07</v>
      </c>
    </row>
    <row r="36" spans="1:1">
      <c r="A36" t="str">
        <v>야간에 이동시 미끄러짐 / 2026-01-20</v>
      </c>
    </row>
    <row r="37" spans="1:1">
      <c r="A37" t="str">
        <v>구조물에 안전모 부딪힘 / 2026-01-20</v>
      </c>
    </row>
    <row r="38" spans="1:1">
      <c r="A38" t="str">
        <v>계단 이동중 미끄러짐 / 2026-01-21</v>
      </c>
    </row>
    <row r="39" spans="1:1">
      <c r="A39" t="str">
        <v>미끄러짐 / 2026-01-22</v>
      </c>
    </row>
    <row r="40" spans="1:1">
      <c r="A40" t="str">
        <v>리프트에서 내릴때 작업발판 접지름 / 2026-01-25</v>
      </c>
    </row>
    <row r="41" spans="1:1">
      <c r="A41" t="str">
        <v>계단 미끄러짐 / 2026-01-28</v>
      </c>
    </row>
    <row r="42" spans="1:1">
      <c r="A42" t="str">
        <v>고드름 낙하 / 2026-02-13</v>
      </c>
    </row>
    <row r="43" spans="1:1">
      <c r="A43" t="str">
        <v>낙하물 / 2026-02-23</v>
      </c>
    </row>
    <row r="44" spans="1:1">
      <c r="A44" t="str">
        <v>낙하물에 의한 위험 / 2026-02-23</v>
      </c>
    </row>
    <row r="45" spans="1:1">
      <c r="A45" t="str">
        <v>이젝터 부품 해체 중 손이 주변 구조물에 부딪침 / 2026-02-24</v>
      </c>
    </row>
    <row r="46" spans="1:1">
      <c r="A46" t="str">
        <v>계단 이동중 상부구조물 충돌 / 2026-02-24</v>
      </c>
    </row>
    <row r="47" spans="1:1">
      <c r="A47" t="str">
        <v>프로브 조립시 수공구에 의한 찍힘 / 2026-03-10</v>
      </c>
    </row>
    <row r="48" spans="1:1">
      <c r="A48" t="str">
        <v>공구 사용하다 찰과상 / 2026-03-11</v>
      </c>
    </row>
    <row r="49" spans="1:1">
      <c r="A49" t="str">
        <v>야간작업시 계단올라갔을때 넘어짐 / 2026-03-12</v>
      </c>
    </row>
    <row r="50" spans="1:1">
      <c r="A50" t="str">
        <v>그라인더 사용중 불티 화상 / 2026-03-22</v>
      </c>
    </row>
    <row r="51" spans="1:1">
      <c r="A51" t="str">
        <v>소통 미비로 결선 중 단락 사고 발생할 뻔 함. / 2026-03-25</v>
      </c>
    </row>
    <row r="52" spans="1:1">
      <c r="A52" t="str">
        <v>440V 감전사고 / 2026-03-26</v>
      </c>
    </row>
    <row r="53" spans="1:1">
      <c r="A53" t="str">
        <v>습기에 의한 미끄러짐 / 2026-03-26</v>
      </c>
    </row>
    <row r="54" spans="1:1">
      <c r="A54" t="str">
        <v>나무 가시에 찔림 / 2026-03-29</v>
      </c>
    </row>
    <row r="55" spans="1:1">
      <c r="A55" t="str">
        <v>계단에서 미끄러짐 / 2026-04-01</v>
      </c>
    </row>
    <row r="56" spans="1:1">
      <c r="A56" t="str">
        <v>4호 inlet 이젝터 청소 작업 중 이젝터 나사가 바닥에 떨어짐, 나사를 찾으려다 바닥에 넘어질뻔함 / 2026-04-02</v>
      </c>
    </row>
    <row r="57" spans="1:1">
      <c r="A57" t="str">
        <v>공구 사용하다 칠과상 / 2026-04-03</v>
      </c>
    </row>
    <row r="58" spans="1:1">
      <c r="A58" t="str">
        <v>판넬 이송 중 머리 부딪힘 / 2026-04-13</v>
      </c>
    </row>
    <row r="59" spans="1:1">
      <c r="A59" t="str">
        <v>광산현대화 BC2 벨트에서 이동식 비계를 옮기던 중 미끄러짐 / 2026-04-13</v>
      </c>
    </row>
    <row r="60" spans="1:1">
      <c r="A60" t="str">
        <v>그라인더 작업 중 쉿가루 튐 / 2026-04-15</v>
      </c>
    </row>
    <row r="61" spans="1:1">
      <c r="A61" t="str">
        <v>사다리 이동중 무릎, 팔 타박상 / 2026-04-16</v>
      </c>
    </row>
    <row r="62" spans="1:1">
      <c r="A62" t="str">
        <v>4k kiln inlet 계단 올라갈 때 배관에 헬멧 박아서 계단에서 넘어질 뻔함 / 2026-04-18</v>
      </c>
    </row>
    <row r="63" spans="1:1">
      <c r="A63" t="str">
        <v>작업중 부딪침. / 2026-04-28</v>
      </c>
    </row>
    <row r="64" spans="1:1">
      <c r="A64" t="str">
        <v>2k kiln inlet 이젝터 볼트 체결 과정 중 스패너가 튀어 작업자의 입술에 부딪침 / 2026-05-01</v>
      </c>
    </row>
    <row r="65" spans="1:1">
      <c r="A65" t="str">
        <v>4호 IDF 필터 청소 중 분진에 의한 기침 / 2026-05-03</v>
      </c>
    </row>
    <row r="66" spans="1:1">
      <c r="A66" t="str">
        <v>3호 Probe 스프레관 청소 중 시멘트 가루 흡입 / 2026-05-06</v>
      </c>
    </row>
    <row r="67" spans="1:1">
      <c r="A67" t="str">
        <v>차량 이동시 주변 미확인으로 인한 위험 / 2026-05-07</v>
      </c>
    </row>
    <row r="68" spans="1:1">
      <c r="A68" t="str">
        <v>앙카드릴 작업 중 낙석 / 2026-05-08</v>
      </c>
    </row>
    <row r="69" spans="1:1">
      <c r="A69" t="str">
        <v>3호 IDF 필터 빼다가 뒤로 넘어갈뻔 했습니다 / 2026-05-12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2907-3C5C-41DA-8AC4-C457D35F7385}">
  <dimension ref="A1:N69"/>
  <sheetViews>
    <sheetView topLeftCell="F64" workbookViewId="0">
      <selection activeCell="J68" sqref="J68"/>
    </sheetView>
  </sheetViews>
  <sheetFormatPr defaultRowHeight="16.5"/>
  <cols>
    <col min="1" max="1" width="11.375" style="1" bestFit="1" customWidth="1"/>
    <col min="2" max="2" width="11.25" style="1" bestFit="1" customWidth="1"/>
    <col min="3" max="3" width="79" style="1" bestFit="1" customWidth="1"/>
    <col min="4" max="4" width="16.625" style="1" bestFit="1" customWidth="1"/>
    <col min="5" max="5" width="29.875" style="1" bestFit="1" customWidth="1"/>
    <col min="6" max="7" width="81" style="1" bestFit="1" customWidth="1"/>
    <col min="8" max="8" width="13.75" style="1" bestFit="1" customWidth="1"/>
    <col min="9" max="9" width="16" style="1" bestFit="1" customWidth="1"/>
    <col min="10" max="10" width="43.375" style="1" bestFit="1" customWidth="1"/>
    <col min="11" max="11" width="22.75" style="1" bestFit="1" customWidth="1"/>
    <col min="12" max="12" width="47.125" style="1" bestFit="1" customWidth="1"/>
    <col min="13" max="13" width="81" style="1" bestFit="1" customWidth="1"/>
    <col min="14" max="14" width="81" style="1" customWidth="1"/>
    <col min="15" max="16" width="16" bestFit="1" customWidth="1"/>
  </cols>
  <sheetData>
    <row r="1" spans="1:14">
      <c r="A1" s="1" t="s">
        <v>349</v>
      </c>
      <c r="B1" s="1" t="s">
        <v>357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0</v>
      </c>
      <c r="I1" t="s">
        <v>1</v>
      </c>
      <c r="J1" t="s">
        <v>2</v>
      </c>
      <c r="K1" t="s">
        <v>440</v>
      </c>
      <c r="L1" t="s">
        <v>441</v>
      </c>
      <c r="M1" s="1" t="s">
        <v>355</v>
      </c>
      <c r="N1" s="1" t="s">
        <v>356</v>
      </c>
    </row>
    <row r="2" spans="1:14" ht="66">
      <c r="A2" s="1">
        <v>1</v>
      </c>
      <c r="B2" s="124" t="s">
        <v>3</v>
      </c>
      <c r="C2" s="124" t="s">
        <v>4</v>
      </c>
      <c r="D2" s="2">
        <v>45666.388888888891</v>
      </c>
      <c r="E2" s="124" t="s">
        <v>5</v>
      </c>
      <c r="F2" s="124" t="s">
        <v>6</v>
      </c>
      <c r="G2" s="124" t="s">
        <v>282</v>
      </c>
      <c r="H2" s="124" t="s">
        <v>7</v>
      </c>
      <c r="I2" s="125" t="s">
        <v>8</v>
      </c>
      <c r="J2" s="125" t="s">
        <v>9</v>
      </c>
      <c r="K2" s="125" t="s">
        <v>10</v>
      </c>
      <c r="L2" s="125" t="s">
        <v>11</v>
      </c>
      <c r="M2" s="124" t="s">
        <v>12</v>
      </c>
      <c r="N2" s="124" t="s">
        <v>12</v>
      </c>
    </row>
    <row r="3" spans="1:14" ht="66">
      <c r="A3" s="1">
        <v>3</v>
      </c>
      <c r="B3" s="124" t="s">
        <v>22</v>
      </c>
      <c r="C3" s="124" t="s">
        <v>23</v>
      </c>
      <c r="D3" s="2">
        <v>45727.550694444442</v>
      </c>
      <c r="E3" s="124" t="s">
        <v>247</v>
      </c>
      <c r="F3" s="124" t="s">
        <v>24</v>
      </c>
      <c r="G3" s="124" t="s">
        <v>284</v>
      </c>
      <c r="H3" s="124" t="s">
        <v>25</v>
      </c>
      <c r="I3" s="125" t="s">
        <v>26</v>
      </c>
      <c r="J3" s="125" t="s">
        <v>27</v>
      </c>
      <c r="K3" s="125" t="s">
        <v>28</v>
      </c>
      <c r="L3" s="125" t="s">
        <v>11</v>
      </c>
      <c r="M3" s="124" t="s">
        <v>29</v>
      </c>
      <c r="N3" s="124" t="s">
        <v>29</v>
      </c>
    </row>
    <row r="4" spans="1:14" ht="66">
      <c r="A4" s="1">
        <v>5</v>
      </c>
      <c r="B4" s="124" t="s">
        <v>37</v>
      </c>
      <c r="C4" s="124" t="s">
        <v>38</v>
      </c>
      <c r="D4" s="2">
        <v>45734.59375</v>
      </c>
      <c r="E4" s="124" t="s">
        <v>39</v>
      </c>
      <c r="F4" s="124" t="s">
        <v>40</v>
      </c>
      <c r="G4" s="124" t="s">
        <v>287</v>
      </c>
      <c r="H4" s="124" t="s">
        <v>41</v>
      </c>
      <c r="I4" s="125" t="s">
        <v>42</v>
      </c>
      <c r="J4" s="125" t="s">
        <v>43</v>
      </c>
      <c r="K4" s="125" t="s">
        <v>10</v>
      </c>
      <c r="L4" s="125" t="s">
        <v>11</v>
      </c>
      <c r="M4" s="124" t="s">
        <v>44</v>
      </c>
      <c r="N4" s="124" t="s">
        <v>44</v>
      </c>
    </row>
    <row r="5" spans="1:14" ht="66">
      <c r="A5" s="1">
        <v>2</v>
      </c>
      <c r="B5" s="124" t="s">
        <v>13</v>
      </c>
      <c r="C5" s="124" t="s">
        <v>14</v>
      </c>
      <c r="D5" s="2">
        <v>45737.590277777781</v>
      </c>
      <c r="E5" s="124" t="s">
        <v>15</v>
      </c>
      <c r="F5" s="124" t="s">
        <v>16</v>
      </c>
      <c r="G5" s="124" t="s">
        <v>283</v>
      </c>
      <c r="H5" s="124" t="s">
        <v>17</v>
      </c>
      <c r="I5" s="125" t="s">
        <v>18</v>
      </c>
      <c r="J5" s="125" t="s">
        <v>19</v>
      </c>
      <c r="K5" s="125" t="s">
        <v>20</v>
      </c>
      <c r="L5" s="125" t="s">
        <v>11</v>
      </c>
      <c r="M5" s="124" t="s">
        <v>21</v>
      </c>
      <c r="N5" s="124" t="s">
        <v>21</v>
      </c>
    </row>
    <row r="6" spans="1:14" ht="66">
      <c r="A6" s="1">
        <v>4</v>
      </c>
      <c r="B6" s="124" t="s">
        <v>30</v>
      </c>
      <c r="C6" s="124" t="s">
        <v>248</v>
      </c>
      <c r="D6" s="2">
        <v>45742.461805555555</v>
      </c>
      <c r="E6" s="124" t="s">
        <v>31</v>
      </c>
      <c r="F6" s="124" t="s">
        <v>249</v>
      </c>
      <c r="G6" s="124" t="s">
        <v>285</v>
      </c>
      <c r="H6" s="124" t="s">
        <v>7</v>
      </c>
      <c r="I6" s="125" t="s">
        <v>250</v>
      </c>
      <c r="J6" s="125" t="s">
        <v>9</v>
      </c>
      <c r="K6" s="125" t="s">
        <v>58</v>
      </c>
      <c r="L6" s="125" t="s">
        <v>11</v>
      </c>
      <c r="M6" s="124" t="s">
        <v>286</v>
      </c>
      <c r="N6" s="124" t="s">
        <v>286</v>
      </c>
    </row>
    <row r="7" spans="1:14" ht="66">
      <c r="A7" s="1">
        <v>6</v>
      </c>
      <c r="B7" s="124" t="s">
        <v>45</v>
      </c>
      <c r="C7" s="124" t="s">
        <v>46</v>
      </c>
      <c r="D7" s="2">
        <v>45744.395833333336</v>
      </c>
      <c r="E7" s="124" t="s">
        <v>47</v>
      </c>
      <c r="F7" s="124" t="s">
        <v>48</v>
      </c>
      <c r="G7" s="124" t="s">
        <v>288</v>
      </c>
      <c r="H7" s="124" t="s">
        <v>7</v>
      </c>
      <c r="I7" s="125" t="s">
        <v>49</v>
      </c>
      <c r="J7" s="125" t="s">
        <v>50</v>
      </c>
      <c r="K7" s="125" t="s">
        <v>28</v>
      </c>
      <c r="L7" s="125" t="s">
        <v>11</v>
      </c>
      <c r="M7" s="124" t="s">
        <v>51</v>
      </c>
      <c r="N7" s="124" t="s">
        <v>51</v>
      </c>
    </row>
    <row r="8" spans="1:14" ht="82.5">
      <c r="A8" s="1">
        <v>7</v>
      </c>
      <c r="B8" s="124" t="s">
        <v>13</v>
      </c>
      <c r="C8" s="124" t="s">
        <v>251</v>
      </c>
      <c r="D8" s="2">
        <v>45754.375</v>
      </c>
      <c r="E8" s="124" t="s">
        <v>289</v>
      </c>
      <c r="F8" s="124" t="s">
        <v>252</v>
      </c>
      <c r="G8" s="124" t="s">
        <v>290</v>
      </c>
      <c r="H8" s="124" t="s">
        <v>9</v>
      </c>
      <c r="I8" s="125" t="s">
        <v>18</v>
      </c>
      <c r="J8" s="125" t="s">
        <v>50</v>
      </c>
      <c r="K8" s="125" t="s">
        <v>10</v>
      </c>
      <c r="L8" s="125" t="s">
        <v>11</v>
      </c>
      <c r="M8" s="124" t="s">
        <v>52</v>
      </c>
      <c r="N8" s="124" t="s">
        <v>52</v>
      </c>
    </row>
    <row r="9" spans="1:14" ht="66">
      <c r="A9" s="1">
        <v>8</v>
      </c>
      <c r="B9" s="124" t="s">
        <v>37</v>
      </c>
      <c r="C9" s="124" t="s">
        <v>53</v>
      </c>
      <c r="D9" s="2">
        <v>45762.083333333336</v>
      </c>
      <c r="E9" s="124" t="s">
        <v>54</v>
      </c>
      <c r="F9" s="124" t="s">
        <v>55</v>
      </c>
      <c r="G9" s="124" t="s">
        <v>291</v>
      </c>
      <c r="H9" s="124" t="s">
        <v>56</v>
      </c>
      <c r="I9" s="125" t="s">
        <v>57</v>
      </c>
      <c r="J9" s="125" t="s">
        <v>19</v>
      </c>
      <c r="K9" s="125" t="s">
        <v>58</v>
      </c>
      <c r="L9" s="125" t="s">
        <v>11</v>
      </c>
      <c r="M9" s="124" t="s">
        <v>59</v>
      </c>
      <c r="N9" s="124" t="s">
        <v>59</v>
      </c>
    </row>
    <row r="10" spans="1:14" ht="66">
      <c r="A10" s="1">
        <v>10</v>
      </c>
      <c r="B10" s="124" t="s">
        <v>65</v>
      </c>
      <c r="C10" s="124" t="s">
        <v>66</v>
      </c>
      <c r="D10" s="2">
        <v>45784.090277777781</v>
      </c>
      <c r="E10" s="124" t="s">
        <v>67</v>
      </c>
      <c r="F10" s="124" t="s">
        <v>68</v>
      </c>
      <c r="G10" s="124" t="s">
        <v>294</v>
      </c>
      <c r="H10" s="124" t="s">
        <v>25</v>
      </c>
      <c r="I10" s="125" t="s">
        <v>26</v>
      </c>
      <c r="J10" s="125" t="s">
        <v>27</v>
      </c>
      <c r="K10" s="125" t="s">
        <v>10</v>
      </c>
      <c r="L10" s="125" t="s">
        <v>11</v>
      </c>
      <c r="M10" s="124" t="s">
        <v>69</v>
      </c>
      <c r="N10" s="124" t="s">
        <v>69</v>
      </c>
    </row>
    <row r="11" spans="1:14" ht="66">
      <c r="A11" s="1">
        <v>11</v>
      </c>
      <c r="B11" s="124" t="s">
        <v>70</v>
      </c>
      <c r="C11" s="124" t="s">
        <v>71</v>
      </c>
      <c r="D11" s="2">
        <v>45784.375</v>
      </c>
      <c r="E11" s="124" t="s">
        <v>72</v>
      </c>
      <c r="F11" s="124" t="s">
        <v>73</v>
      </c>
      <c r="G11" s="124" t="s">
        <v>290</v>
      </c>
      <c r="H11" s="124" t="s">
        <v>7</v>
      </c>
      <c r="I11" s="125" t="s">
        <v>18</v>
      </c>
      <c r="J11" s="125" t="s">
        <v>50</v>
      </c>
      <c r="K11" s="125" t="s">
        <v>10</v>
      </c>
      <c r="L11" s="125" t="s">
        <v>11</v>
      </c>
      <c r="M11" s="124" t="s">
        <v>74</v>
      </c>
      <c r="N11" s="124" t="s">
        <v>74</v>
      </c>
    </row>
    <row r="12" spans="1:14" ht="66">
      <c r="A12" s="1">
        <v>12</v>
      </c>
      <c r="B12" s="124" t="s">
        <v>45</v>
      </c>
      <c r="C12" s="124" t="s">
        <v>75</v>
      </c>
      <c r="D12" s="2">
        <v>45791.594444444447</v>
      </c>
      <c r="E12" s="124" t="s">
        <v>76</v>
      </c>
      <c r="F12" s="124" t="s">
        <v>77</v>
      </c>
      <c r="G12" s="124" t="s">
        <v>295</v>
      </c>
      <c r="H12" s="124" t="s">
        <v>7</v>
      </c>
      <c r="I12" s="125" t="s">
        <v>78</v>
      </c>
      <c r="J12" s="125" t="s">
        <v>50</v>
      </c>
      <c r="K12" s="125" t="s">
        <v>10</v>
      </c>
      <c r="L12" s="125" t="s">
        <v>79</v>
      </c>
      <c r="M12" s="124" t="s">
        <v>296</v>
      </c>
      <c r="N12" s="124" t="s">
        <v>296</v>
      </c>
    </row>
    <row r="13" spans="1:14" ht="66">
      <c r="A13" s="1">
        <v>13</v>
      </c>
      <c r="B13" s="124" t="s">
        <v>80</v>
      </c>
      <c r="C13" s="124" t="s">
        <v>81</v>
      </c>
      <c r="D13" s="2">
        <v>45807.628472222219</v>
      </c>
      <c r="E13" s="124" t="s">
        <v>82</v>
      </c>
      <c r="F13" s="124" t="s">
        <v>83</v>
      </c>
      <c r="G13" s="124" t="s">
        <v>297</v>
      </c>
      <c r="H13" s="124" t="s">
        <v>84</v>
      </c>
      <c r="I13" s="125" t="s">
        <v>49</v>
      </c>
      <c r="J13" s="125" t="s">
        <v>19</v>
      </c>
      <c r="K13" s="125" t="s">
        <v>28</v>
      </c>
      <c r="L13" s="125" t="s">
        <v>79</v>
      </c>
      <c r="M13" s="124" t="s">
        <v>85</v>
      </c>
      <c r="N13" s="124" t="s">
        <v>85</v>
      </c>
    </row>
    <row r="14" spans="1:14" ht="66">
      <c r="A14" s="1">
        <v>14</v>
      </c>
      <c r="B14" s="124" t="s">
        <v>65</v>
      </c>
      <c r="C14" s="124" t="s">
        <v>86</v>
      </c>
      <c r="D14" s="2">
        <v>45820.395833333336</v>
      </c>
      <c r="E14" s="124" t="s">
        <v>87</v>
      </c>
      <c r="F14" s="124" t="s">
        <v>88</v>
      </c>
      <c r="G14" s="124" t="s">
        <v>298</v>
      </c>
      <c r="H14" s="124" t="s">
        <v>9</v>
      </c>
      <c r="I14" s="125" t="s">
        <v>89</v>
      </c>
      <c r="J14" s="125" t="s">
        <v>90</v>
      </c>
      <c r="K14" s="125" t="s">
        <v>20</v>
      </c>
      <c r="L14" s="125" t="s">
        <v>91</v>
      </c>
      <c r="M14" s="124" t="s">
        <v>92</v>
      </c>
      <c r="N14" s="124" t="s">
        <v>92</v>
      </c>
    </row>
    <row r="15" spans="1:14" ht="66">
      <c r="A15" s="1">
        <v>17</v>
      </c>
      <c r="B15" s="124" t="s">
        <v>13</v>
      </c>
      <c r="C15" s="124" t="s">
        <v>102</v>
      </c>
      <c r="D15" s="2">
        <v>45870.375</v>
      </c>
      <c r="E15" s="124" t="s">
        <v>103</v>
      </c>
      <c r="F15" s="124" t="s">
        <v>104</v>
      </c>
      <c r="G15" s="124" t="s">
        <v>301</v>
      </c>
      <c r="H15" s="124" t="s">
        <v>7</v>
      </c>
      <c r="I15" s="125" t="s">
        <v>78</v>
      </c>
      <c r="J15" s="125" t="s">
        <v>9</v>
      </c>
      <c r="K15" s="125" t="s">
        <v>20</v>
      </c>
      <c r="L15" s="125" t="s">
        <v>63</v>
      </c>
      <c r="M15" s="124" t="s">
        <v>105</v>
      </c>
      <c r="N15" s="124" t="s">
        <v>105</v>
      </c>
    </row>
    <row r="16" spans="1:14" ht="66">
      <c r="A16" s="1">
        <v>9</v>
      </c>
      <c r="B16" s="124" t="s">
        <v>37</v>
      </c>
      <c r="C16" s="124" t="s">
        <v>60</v>
      </c>
      <c r="D16" s="2">
        <v>45870.420138888891</v>
      </c>
      <c r="E16" s="124" t="s">
        <v>61</v>
      </c>
      <c r="F16" s="124" t="s">
        <v>292</v>
      </c>
      <c r="G16" s="124" t="s">
        <v>293</v>
      </c>
      <c r="H16" s="124" t="s">
        <v>62</v>
      </c>
      <c r="I16" s="125" t="s">
        <v>57</v>
      </c>
      <c r="J16" s="125" t="s">
        <v>50</v>
      </c>
      <c r="K16" s="125" t="s">
        <v>10</v>
      </c>
      <c r="L16" s="125" t="s">
        <v>63</v>
      </c>
      <c r="M16" s="124" t="s">
        <v>64</v>
      </c>
      <c r="N16" s="124" t="s">
        <v>64</v>
      </c>
    </row>
    <row r="17" spans="1:14" ht="66">
      <c r="A17" s="1">
        <v>15</v>
      </c>
      <c r="B17" s="124" t="s">
        <v>65</v>
      </c>
      <c r="C17" s="124" t="s">
        <v>93</v>
      </c>
      <c r="D17" s="2">
        <v>45875.379861111112</v>
      </c>
      <c r="E17" s="124" t="s">
        <v>94</v>
      </c>
      <c r="F17" s="124" t="s">
        <v>95</v>
      </c>
      <c r="G17" s="124" t="s">
        <v>299</v>
      </c>
      <c r="H17" s="124" t="s">
        <v>56</v>
      </c>
      <c r="I17" s="125" t="s">
        <v>9</v>
      </c>
      <c r="J17" s="125" t="s">
        <v>9</v>
      </c>
      <c r="K17" s="125" t="s">
        <v>10</v>
      </c>
      <c r="L17" s="125" t="s">
        <v>11</v>
      </c>
      <c r="M17" s="124" t="s">
        <v>96</v>
      </c>
      <c r="N17" s="124" t="s">
        <v>96</v>
      </c>
    </row>
    <row r="18" spans="1:14" ht="66">
      <c r="A18" s="1">
        <v>16</v>
      </c>
      <c r="B18" s="124" t="s">
        <v>80</v>
      </c>
      <c r="C18" s="124" t="s">
        <v>97</v>
      </c>
      <c r="D18" s="2">
        <v>45876.4375</v>
      </c>
      <c r="E18" s="124" t="s">
        <v>98</v>
      </c>
      <c r="F18" s="124" t="s">
        <v>99</v>
      </c>
      <c r="G18" s="124" t="s">
        <v>300</v>
      </c>
      <c r="H18" s="124" t="s">
        <v>7</v>
      </c>
      <c r="I18" s="125" t="s">
        <v>100</v>
      </c>
      <c r="J18" s="125" t="s">
        <v>9</v>
      </c>
      <c r="K18" s="125" t="s">
        <v>20</v>
      </c>
      <c r="L18" s="125" t="s">
        <v>63</v>
      </c>
      <c r="M18" s="124" t="s">
        <v>101</v>
      </c>
      <c r="N18" s="124" t="s">
        <v>101</v>
      </c>
    </row>
    <row r="19" spans="1:14" ht="66">
      <c r="A19" s="1">
        <v>18</v>
      </c>
      <c r="B19" s="124" t="s">
        <v>45</v>
      </c>
      <c r="C19" s="124" t="s">
        <v>106</v>
      </c>
      <c r="D19" s="2">
        <v>45880.427083333336</v>
      </c>
      <c r="E19" s="124" t="s">
        <v>107</v>
      </c>
      <c r="F19" s="124" t="s">
        <v>108</v>
      </c>
      <c r="G19" s="124" t="s">
        <v>302</v>
      </c>
      <c r="H19" s="124" t="s">
        <v>41</v>
      </c>
      <c r="I19" s="125" t="s">
        <v>9</v>
      </c>
      <c r="J19" s="125" t="s">
        <v>43</v>
      </c>
      <c r="K19" s="125" t="s">
        <v>28</v>
      </c>
      <c r="L19" s="125" t="s">
        <v>63</v>
      </c>
      <c r="M19" s="124" t="s">
        <v>109</v>
      </c>
      <c r="N19" s="124" t="s">
        <v>109</v>
      </c>
    </row>
    <row r="20" spans="1:14" ht="66">
      <c r="A20" s="1">
        <v>23</v>
      </c>
      <c r="B20" s="124" t="s">
        <v>45</v>
      </c>
      <c r="C20" s="124" t="s">
        <v>127</v>
      </c>
      <c r="D20" s="2">
        <v>45891.375</v>
      </c>
      <c r="E20" s="124" t="s">
        <v>128</v>
      </c>
      <c r="F20" s="124" t="s">
        <v>129</v>
      </c>
      <c r="G20" s="124" t="s">
        <v>310</v>
      </c>
      <c r="H20" s="124" t="s">
        <v>7</v>
      </c>
      <c r="I20" s="125" t="s">
        <v>100</v>
      </c>
      <c r="J20" s="125" t="s">
        <v>50</v>
      </c>
      <c r="K20" s="125" t="s">
        <v>10</v>
      </c>
      <c r="L20" s="125" t="s">
        <v>11</v>
      </c>
      <c r="M20" s="124" t="s">
        <v>130</v>
      </c>
      <c r="N20" s="124" t="s">
        <v>130</v>
      </c>
    </row>
    <row r="21" spans="1:14" ht="66">
      <c r="A21" s="1">
        <v>21</v>
      </c>
      <c r="B21" s="124" t="s">
        <v>37</v>
      </c>
      <c r="C21" s="124" t="s">
        <v>119</v>
      </c>
      <c r="D21" s="2">
        <v>45901.392361111109</v>
      </c>
      <c r="E21" s="124" t="s">
        <v>120</v>
      </c>
      <c r="F21" s="124" t="s">
        <v>307</v>
      </c>
      <c r="G21" s="124" t="s">
        <v>308</v>
      </c>
      <c r="H21" s="124" t="s">
        <v>9</v>
      </c>
      <c r="I21" s="125" t="s">
        <v>121</v>
      </c>
      <c r="J21" s="125" t="s">
        <v>19</v>
      </c>
      <c r="K21" s="125" t="s">
        <v>20</v>
      </c>
      <c r="L21" s="125" t="s">
        <v>11</v>
      </c>
      <c r="M21" s="124" t="s">
        <v>122</v>
      </c>
      <c r="N21" s="124" t="s">
        <v>122</v>
      </c>
    </row>
    <row r="22" spans="1:14" ht="66">
      <c r="A22" s="1">
        <v>19</v>
      </c>
      <c r="B22" s="124" t="s">
        <v>110</v>
      </c>
      <c r="C22" s="124" t="s">
        <v>303</v>
      </c>
      <c r="D22" s="2">
        <v>45903.881944444445</v>
      </c>
      <c r="E22" s="124" t="s">
        <v>111</v>
      </c>
      <c r="F22" s="124" t="s">
        <v>112</v>
      </c>
      <c r="G22" s="124" t="s">
        <v>304</v>
      </c>
      <c r="H22" s="124" t="s">
        <v>84</v>
      </c>
      <c r="I22" s="125" t="s">
        <v>49</v>
      </c>
      <c r="J22" s="125" t="s">
        <v>19</v>
      </c>
      <c r="K22" s="125" t="s">
        <v>58</v>
      </c>
      <c r="L22" s="125" t="s">
        <v>11</v>
      </c>
      <c r="M22" s="124" t="s">
        <v>113</v>
      </c>
      <c r="N22" s="124" t="s">
        <v>113</v>
      </c>
    </row>
    <row r="23" spans="1:14" ht="66">
      <c r="A23" s="1">
        <v>20</v>
      </c>
      <c r="B23" s="124" t="s">
        <v>114</v>
      </c>
      <c r="C23" s="124" t="s">
        <v>115</v>
      </c>
      <c r="D23" s="2">
        <v>45904.020833333336</v>
      </c>
      <c r="E23" s="124" t="s">
        <v>305</v>
      </c>
      <c r="F23" s="124" t="s">
        <v>116</v>
      </c>
      <c r="G23" s="124" t="s">
        <v>306</v>
      </c>
      <c r="H23" s="124" t="s">
        <v>117</v>
      </c>
      <c r="I23" s="125" t="s">
        <v>26</v>
      </c>
      <c r="J23" s="125" t="s">
        <v>50</v>
      </c>
      <c r="K23" s="125" t="s">
        <v>28</v>
      </c>
      <c r="L23" s="125" t="s">
        <v>11</v>
      </c>
      <c r="M23" s="124" t="s">
        <v>118</v>
      </c>
      <c r="N23" s="124" t="s">
        <v>118</v>
      </c>
    </row>
    <row r="24" spans="1:14" ht="66">
      <c r="A24" s="1">
        <v>22</v>
      </c>
      <c r="B24" s="124" t="s">
        <v>65</v>
      </c>
      <c r="C24" s="124" t="s">
        <v>123</v>
      </c>
      <c r="D24" s="2">
        <v>45910.6875</v>
      </c>
      <c r="E24" s="124" t="s">
        <v>124</v>
      </c>
      <c r="F24" s="124" t="s">
        <v>125</v>
      </c>
      <c r="G24" s="124" t="s">
        <v>309</v>
      </c>
      <c r="H24" s="124" t="s">
        <v>56</v>
      </c>
      <c r="I24" s="125" t="s">
        <v>89</v>
      </c>
      <c r="J24" s="125" t="s">
        <v>90</v>
      </c>
      <c r="K24" s="125" t="s">
        <v>10</v>
      </c>
      <c r="L24" s="125" t="s">
        <v>79</v>
      </c>
      <c r="M24" s="124" t="s">
        <v>126</v>
      </c>
      <c r="N24" s="124" t="s">
        <v>126</v>
      </c>
    </row>
    <row r="25" spans="1:14" ht="66">
      <c r="A25" s="1">
        <v>24</v>
      </c>
      <c r="B25" s="124" t="s">
        <v>37</v>
      </c>
      <c r="C25" s="124" t="s">
        <v>131</v>
      </c>
      <c r="D25" s="2">
        <v>45950.420138888891</v>
      </c>
      <c r="E25" s="124" t="s">
        <v>132</v>
      </c>
      <c r="F25" s="124" t="s">
        <v>133</v>
      </c>
      <c r="G25" s="124" t="s">
        <v>311</v>
      </c>
      <c r="H25" s="124" t="s">
        <v>56</v>
      </c>
      <c r="I25" s="125" t="s">
        <v>26</v>
      </c>
      <c r="J25" s="125" t="s">
        <v>27</v>
      </c>
      <c r="K25" s="125" t="s">
        <v>28</v>
      </c>
      <c r="L25" s="125" t="s">
        <v>63</v>
      </c>
      <c r="M25" s="124" t="s">
        <v>134</v>
      </c>
      <c r="N25" s="124" t="s">
        <v>134</v>
      </c>
    </row>
    <row r="26" spans="1:14" ht="66">
      <c r="A26" s="1">
        <v>25</v>
      </c>
      <c r="B26" s="124" t="s">
        <v>80</v>
      </c>
      <c r="C26" s="124" t="s">
        <v>135</v>
      </c>
      <c r="D26" s="2">
        <v>45958.4375</v>
      </c>
      <c r="E26" s="124" t="s">
        <v>136</v>
      </c>
      <c r="F26" s="124" t="s">
        <v>137</v>
      </c>
      <c r="G26" s="124" t="s">
        <v>299</v>
      </c>
      <c r="H26" s="124" t="s">
        <v>56</v>
      </c>
      <c r="I26" s="125" t="s">
        <v>9</v>
      </c>
      <c r="J26" s="125" t="s">
        <v>9</v>
      </c>
      <c r="K26" s="125" t="s">
        <v>10</v>
      </c>
      <c r="L26" s="125" t="s">
        <v>11</v>
      </c>
      <c r="M26" s="124" t="s">
        <v>138</v>
      </c>
      <c r="N26" s="124" t="s">
        <v>138</v>
      </c>
    </row>
    <row r="27" spans="1:14" ht="66">
      <c r="A27" s="1">
        <v>27</v>
      </c>
      <c r="B27" s="124" t="s">
        <v>144</v>
      </c>
      <c r="C27" s="124" t="s">
        <v>145</v>
      </c>
      <c r="D27" s="2">
        <v>45960.645833333336</v>
      </c>
      <c r="E27" s="124" t="s">
        <v>146</v>
      </c>
      <c r="F27" s="124" t="s">
        <v>147</v>
      </c>
      <c r="G27" s="124" t="s">
        <v>314</v>
      </c>
      <c r="H27" s="124" t="s">
        <v>17</v>
      </c>
      <c r="I27" s="125" t="s">
        <v>9</v>
      </c>
      <c r="J27" s="125" t="s">
        <v>19</v>
      </c>
      <c r="K27" s="125" t="s">
        <v>28</v>
      </c>
      <c r="L27" s="125" t="s">
        <v>79</v>
      </c>
      <c r="M27" s="124" t="s">
        <v>148</v>
      </c>
      <c r="N27" s="124" t="s">
        <v>148</v>
      </c>
    </row>
    <row r="28" spans="1:14" ht="66">
      <c r="A28" s="1">
        <v>26</v>
      </c>
      <c r="B28" s="124" t="s">
        <v>139</v>
      </c>
      <c r="C28" s="124" t="s">
        <v>140</v>
      </c>
      <c r="D28" s="2">
        <v>45961.375</v>
      </c>
      <c r="E28" s="124" t="s">
        <v>141</v>
      </c>
      <c r="F28" s="124" t="s">
        <v>312</v>
      </c>
      <c r="G28" s="124" t="s">
        <v>313</v>
      </c>
      <c r="H28" s="124" t="s">
        <v>7</v>
      </c>
      <c r="I28" s="125" t="s">
        <v>142</v>
      </c>
      <c r="J28" s="125" t="s">
        <v>9</v>
      </c>
      <c r="K28" s="125" t="s">
        <v>10</v>
      </c>
      <c r="L28" s="125" t="s">
        <v>63</v>
      </c>
      <c r="M28" s="124" t="s">
        <v>143</v>
      </c>
      <c r="N28" s="124" t="s">
        <v>143</v>
      </c>
    </row>
    <row r="29" spans="1:14" ht="66">
      <c r="A29" s="1">
        <v>28</v>
      </c>
      <c r="B29" s="124" t="s">
        <v>65</v>
      </c>
      <c r="C29" s="124" t="s">
        <v>149</v>
      </c>
      <c r="D29" s="2">
        <v>45964.541666666664</v>
      </c>
      <c r="E29" s="124" t="s">
        <v>150</v>
      </c>
      <c r="F29" s="124" t="s">
        <v>151</v>
      </c>
      <c r="G29" s="124" t="s">
        <v>315</v>
      </c>
      <c r="H29" s="124" t="s">
        <v>7</v>
      </c>
      <c r="I29" s="125" t="s">
        <v>18</v>
      </c>
      <c r="J29" s="125" t="s">
        <v>9</v>
      </c>
      <c r="K29" s="125" t="s">
        <v>20</v>
      </c>
      <c r="L29" s="125" t="s">
        <v>63</v>
      </c>
      <c r="M29" s="124" t="s">
        <v>316</v>
      </c>
      <c r="N29" s="124" t="s">
        <v>316</v>
      </c>
    </row>
    <row r="30" spans="1:14" ht="66">
      <c r="A30" s="1">
        <v>32</v>
      </c>
      <c r="B30" s="124" t="s">
        <v>110</v>
      </c>
      <c r="C30" s="124" t="s">
        <v>163</v>
      </c>
      <c r="D30" s="2">
        <v>45973.645833333336</v>
      </c>
      <c r="E30" s="124" t="s">
        <v>321</v>
      </c>
      <c r="F30" s="124" t="s">
        <v>164</v>
      </c>
      <c r="G30" s="124" t="s">
        <v>322</v>
      </c>
      <c r="H30" s="124" t="s">
        <v>41</v>
      </c>
      <c r="I30" s="125" t="s">
        <v>9</v>
      </c>
      <c r="J30" s="125" t="s">
        <v>90</v>
      </c>
      <c r="K30" s="125" t="s">
        <v>58</v>
      </c>
      <c r="L30" s="125" t="s">
        <v>11</v>
      </c>
      <c r="M30" s="124" t="s">
        <v>323</v>
      </c>
      <c r="N30" s="124" t="s">
        <v>323</v>
      </c>
    </row>
    <row r="31" spans="1:14" ht="66">
      <c r="A31" s="1">
        <v>29</v>
      </c>
      <c r="B31" s="124" t="s">
        <v>70</v>
      </c>
      <c r="C31" s="124" t="s">
        <v>152</v>
      </c>
      <c r="D31" s="2">
        <v>45974.420138888891</v>
      </c>
      <c r="E31" s="124" t="s">
        <v>153</v>
      </c>
      <c r="F31" s="124" t="s">
        <v>154</v>
      </c>
      <c r="G31" s="124" t="s">
        <v>317</v>
      </c>
      <c r="H31" s="124" t="s">
        <v>84</v>
      </c>
      <c r="I31" s="125" t="s">
        <v>18</v>
      </c>
      <c r="J31" s="125" t="s">
        <v>9</v>
      </c>
      <c r="K31" s="125" t="s">
        <v>58</v>
      </c>
      <c r="L31" s="125" t="s">
        <v>11</v>
      </c>
      <c r="M31" s="124" t="s">
        <v>155</v>
      </c>
      <c r="N31" s="124" t="s">
        <v>155</v>
      </c>
    </row>
    <row r="32" spans="1:14" ht="66">
      <c r="A32" s="1">
        <v>33</v>
      </c>
      <c r="B32" s="124" t="s">
        <v>114</v>
      </c>
      <c r="C32" s="124" t="s">
        <v>165</v>
      </c>
      <c r="D32" s="2">
        <v>45978.604166666664</v>
      </c>
      <c r="E32" s="124" t="s">
        <v>166</v>
      </c>
      <c r="F32" s="124" t="s">
        <v>167</v>
      </c>
      <c r="G32" s="124" t="s">
        <v>324</v>
      </c>
      <c r="H32" s="124" t="s">
        <v>7</v>
      </c>
      <c r="I32" s="125" t="s">
        <v>18</v>
      </c>
      <c r="J32" s="125" t="s">
        <v>9</v>
      </c>
      <c r="K32" s="125" t="s">
        <v>10</v>
      </c>
      <c r="L32" s="125" t="s">
        <v>11</v>
      </c>
      <c r="M32" s="124" t="s">
        <v>254</v>
      </c>
      <c r="N32" s="124" t="s">
        <v>254</v>
      </c>
    </row>
    <row r="33" spans="1:14" ht="66">
      <c r="A33" s="1">
        <v>31</v>
      </c>
      <c r="B33" s="124" t="s">
        <v>37</v>
      </c>
      <c r="C33" s="124" t="s">
        <v>159</v>
      </c>
      <c r="D33" s="2">
        <v>45979.461805555555</v>
      </c>
      <c r="E33" s="124" t="s">
        <v>160</v>
      </c>
      <c r="F33" s="124" t="s">
        <v>161</v>
      </c>
      <c r="G33" s="124" t="s">
        <v>320</v>
      </c>
      <c r="H33" s="124" t="s">
        <v>84</v>
      </c>
      <c r="I33" s="125" t="s">
        <v>9</v>
      </c>
      <c r="J33" s="125" t="s">
        <v>19</v>
      </c>
      <c r="K33" s="125" t="s">
        <v>10</v>
      </c>
      <c r="L33" s="125" t="s">
        <v>11</v>
      </c>
      <c r="M33" s="124" t="s">
        <v>162</v>
      </c>
      <c r="N33" s="124" t="s">
        <v>162</v>
      </c>
    </row>
    <row r="34" spans="1:14" ht="66">
      <c r="A34" s="1">
        <v>30</v>
      </c>
      <c r="B34" s="124" t="s">
        <v>65</v>
      </c>
      <c r="C34" s="124" t="s">
        <v>156</v>
      </c>
      <c r="D34" s="2">
        <v>45980.416666666664</v>
      </c>
      <c r="E34" s="124" t="s">
        <v>253</v>
      </c>
      <c r="F34" s="124" t="s">
        <v>157</v>
      </c>
      <c r="G34" s="124" t="s">
        <v>318</v>
      </c>
      <c r="H34" s="124" t="s">
        <v>7</v>
      </c>
      <c r="I34" s="125" t="s">
        <v>121</v>
      </c>
      <c r="J34" s="125" t="s">
        <v>9</v>
      </c>
      <c r="K34" s="125" t="s">
        <v>20</v>
      </c>
      <c r="L34" s="125" t="s">
        <v>11</v>
      </c>
      <c r="M34" s="124" t="s">
        <v>319</v>
      </c>
      <c r="N34" s="124" t="s">
        <v>319</v>
      </c>
    </row>
    <row r="35" spans="1:14" ht="66">
      <c r="A35" s="1">
        <v>34</v>
      </c>
      <c r="B35" s="124" t="s">
        <v>65</v>
      </c>
      <c r="C35" s="124" t="s">
        <v>170</v>
      </c>
      <c r="D35" s="2">
        <v>46029.604166666664</v>
      </c>
      <c r="E35" s="124" t="s">
        <v>171</v>
      </c>
      <c r="F35" s="124" t="s">
        <v>172</v>
      </c>
      <c r="G35" s="124" t="s">
        <v>325</v>
      </c>
      <c r="H35" s="124" t="s">
        <v>117</v>
      </c>
      <c r="I35" s="125" t="s">
        <v>142</v>
      </c>
      <c r="J35" s="125" t="s">
        <v>9</v>
      </c>
      <c r="K35" s="125" t="s">
        <v>28</v>
      </c>
      <c r="L35" s="125" t="s">
        <v>63</v>
      </c>
      <c r="M35" s="124" t="s">
        <v>173</v>
      </c>
      <c r="N35" s="124" t="s">
        <v>173</v>
      </c>
    </row>
    <row r="36" spans="1:14" ht="66">
      <c r="A36" s="1">
        <v>38</v>
      </c>
      <c r="B36" s="124" t="s">
        <v>187</v>
      </c>
      <c r="C36" s="124" t="s">
        <v>188</v>
      </c>
      <c r="D36" s="2">
        <v>46042.125</v>
      </c>
      <c r="E36" s="124" t="s">
        <v>189</v>
      </c>
      <c r="F36" s="124" t="s">
        <v>190</v>
      </c>
      <c r="G36" s="124" t="s">
        <v>328</v>
      </c>
      <c r="H36" s="124" t="s">
        <v>9</v>
      </c>
      <c r="I36" s="125" t="s">
        <v>191</v>
      </c>
      <c r="J36" s="125" t="s">
        <v>9</v>
      </c>
      <c r="K36" s="125" t="s">
        <v>10</v>
      </c>
      <c r="L36" s="125" t="s">
        <v>11</v>
      </c>
      <c r="M36" s="124" t="s">
        <v>192</v>
      </c>
      <c r="N36" s="124" t="s">
        <v>192</v>
      </c>
    </row>
    <row r="37" spans="1:14" ht="66">
      <c r="A37" s="1">
        <v>35</v>
      </c>
      <c r="B37" s="124" t="s">
        <v>22</v>
      </c>
      <c r="C37" s="124" t="s">
        <v>174</v>
      </c>
      <c r="D37" s="2">
        <v>46042.375</v>
      </c>
      <c r="E37" s="124" t="s">
        <v>255</v>
      </c>
      <c r="F37" s="124" t="s">
        <v>175</v>
      </c>
      <c r="G37" s="124" t="s">
        <v>290</v>
      </c>
      <c r="H37" s="124" t="s">
        <v>84</v>
      </c>
      <c r="I37" s="125" t="s">
        <v>18</v>
      </c>
      <c r="J37" s="125" t="s">
        <v>50</v>
      </c>
      <c r="K37" s="125" t="s">
        <v>10</v>
      </c>
      <c r="L37" s="125" t="s">
        <v>11</v>
      </c>
      <c r="M37" s="124" t="s">
        <v>176</v>
      </c>
      <c r="N37" s="124" t="s">
        <v>176</v>
      </c>
    </row>
    <row r="38" spans="1:14" ht="66">
      <c r="A38" s="1">
        <v>39</v>
      </c>
      <c r="B38" s="124" t="s">
        <v>110</v>
      </c>
      <c r="C38" s="124" t="s">
        <v>193</v>
      </c>
      <c r="D38" s="2">
        <v>46043.635416666664</v>
      </c>
      <c r="E38" s="124" t="s">
        <v>194</v>
      </c>
      <c r="F38" s="124" t="s">
        <v>195</v>
      </c>
      <c r="G38" s="124" t="s">
        <v>329</v>
      </c>
      <c r="H38" s="124"/>
      <c r="I38" s="125"/>
      <c r="J38" s="125"/>
      <c r="K38" s="125"/>
      <c r="L38" s="125"/>
      <c r="M38" s="124" t="s">
        <v>330</v>
      </c>
      <c r="N38" s="124" t="s">
        <v>330</v>
      </c>
    </row>
    <row r="39" spans="1:14" ht="66">
      <c r="A39" s="1">
        <v>37</v>
      </c>
      <c r="B39" s="124" t="s">
        <v>37</v>
      </c>
      <c r="C39" s="124" t="s">
        <v>182</v>
      </c>
      <c r="D39" s="2">
        <v>46044.423611111109</v>
      </c>
      <c r="E39" s="124" t="s">
        <v>183</v>
      </c>
      <c r="F39" s="124" t="s">
        <v>184</v>
      </c>
      <c r="G39" s="124" t="s">
        <v>327</v>
      </c>
      <c r="H39" s="124" t="s">
        <v>56</v>
      </c>
      <c r="I39" s="125" t="s">
        <v>185</v>
      </c>
      <c r="J39" s="125" t="s">
        <v>19</v>
      </c>
      <c r="K39" s="125" t="s">
        <v>20</v>
      </c>
      <c r="L39" s="125" t="s">
        <v>63</v>
      </c>
      <c r="M39" s="124" t="s">
        <v>186</v>
      </c>
      <c r="N39" s="124" t="s">
        <v>186</v>
      </c>
    </row>
    <row r="40" spans="1:14" ht="66">
      <c r="A40" s="1">
        <v>36</v>
      </c>
      <c r="B40" s="124" t="s">
        <v>177</v>
      </c>
      <c r="C40" s="124" t="s">
        <v>178</v>
      </c>
      <c r="D40" s="2">
        <v>46047.40625</v>
      </c>
      <c r="E40" s="124" t="s">
        <v>179</v>
      </c>
      <c r="F40" s="124" t="s">
        <v>180</v>
      </c>
      <c r="G40" s="124" t="s">
        <v>326</v>
      </c>
      <c r="H40" s="124" t="s">
        <v>9</v>
      </c>
      <c r="I40" s="125" t="s">
        <v>49</v>
      </c>
      <c r="J40" s="125" t="s">
        <v>19</v>
      </c>
      <c r="K40" s="125" t="s">
        <v>28</v>
      </c>
      <c r="L40" s="125" t="s">
        <v>11</v>
      </c>
      <c r="M40" s="124" t="s">
        <v>181</v>
      </c>
      <c r="N40" s="124" t="s">
        <v>181</v>
      </c>
    </row>
    <row r="41" spans="1:14" ht="66">
      <c r="A41" s="1">
        <v>40</v>
      </c>
      <c r="B41" s="124" t="s">
        <v>144</v>
      </c>
      <c r="C41" s="124" t="s">
        <v>196</v>
      </c>
      <c r="D41" s="2">
        <v>46050.472222222219</v>
      </c>
      <c r="E41" s="124" t="s">
        <v>197</v>
      </c>
      <c r="F41" s="124" t="s">
        <v>198</v>
      </c>
      <c r="G41" s="124" t="s">
        <v>331</v>
      </c>
      <c r="H41" s="124" t="s">
        <v>9</v>
      </c>
      <c r="I41" s="125" t="s">
        <v>49</v>
      </c>
      <c r="J41" s="125" t="s">
        <v>9</v>
      </c>
      <c r="K41" s="125" t="s">
        <v>10</v>
      </c>
      <c r="L41" s="125" t="s">
        <v>11</v>
      </c>
      <c r="M41" s="124" t="s">
        <v>256</v>
      </c>
      <c r="N41" s="124" t="s">
        <v>256</v>
      </c>
    </row>
    <row r="42" spans="1:14" ht="66">
      <c r="A42" s="1">
        <v>45</v>
      </c>
      <c r="B42" s="124" t="s">
        <v>22</v>
      </c>
      <c r="C42" s="124" t="s">
        <v>215</v>
      </c>
      <c r="D42" s="2">
        <v>46066.583333333336</v>
      </c>
      <c r="E42" s="124" t="s">
        <v>216</v>
      </c>
      <c r="F42" s="124" t="s">
        <v>217</v>
      </c>
      <c r="G42" s="124" t="s">
        <v>324</v>
      </c>
      <c r="H42" s="124" t="s">
        <v>202</v>
      </c>
      <c r="I42" s="125" t="s">
        <v>18</v>
      </c>
      <c r="J42" s="125" t="s">
        <v>9</v>
      </c>
      <c r="K42" s="125" t="s">
        <v>10</v>
      </c>
      <c r="L42" s="125" t="s">
        <v>11</v>
      </c>
      <c r="M42" s="124" t="s">
        <v>218</v>
      </c>
      <c r="N42" s="124" t="s">
        <v>218</v>
      </c>
    </row>
    <row r="43" spans="1:14" ht="66">
      <c r="A43" s="1">
        <v>41</v>
      </c>
      <c r="B43" s="124" t="s">
        <v>144</v>
      </c>
      <c r="C43" s="124" t="s">
        <v>199</v>
      </c>
      <c r="D43" s="2">
        <v>46076.4375</v>
      </c>
      <c r="E43" s="124" t="s">
        <v>200</v>
      </c>
      <c r="F43" s="124" t="s">
        <v>201</v>
      </c>
      <c r="G43" s="124" t="s">
        <v>324</v>
      </c>
      <c r="H43" s="124" t="s">
        <v>202</v>
      </c>
      <c r="I43" s="125" t="s">
        <v>18</v>
      </c>
      <c r="J43" s="125" t="s">
        <v>9</v>
      </c>
      <c r="K43" s="125" t="s">
        <v>10</v>
      </c>
      <c r="L43" s="125" t="s">
        <v>11</v>
      </c>
      <c r="M43" s="124" t="s">
        <v>203</v>
      </c>
      <c r="N43" s="124" t="s">
        <v>203</v>
      </c>
    </row>
    <row r="44" spans="1:14" ht="66">
      <c r="A44" s="1">
        <v>42</v>
      </c>
      <c r="B44" s="124" t="s">
        <v>37</v>
      </c>
      <c r="C44" s="124" t="s">
        <v>204</v>
      </c>
      <c r="D44" s="2">
        <v>46076.462500000001</v>
      </c>
      <c r="E44" s="124" t="s">
        <v>205</v>
      </c>
      <c r="F44" s="124" t="s">
        <v>206</v>
      </c>
      <c r="G44" s="124" t="s">
        <v>332</v>
      </c>
      <c r="H44" s="124" t="s">
        <v>202</v>
      </c>
      <c r="I44" s="125" t="s">
        <v>9</v>
      </c>
      <c r="J44" s="125" t="s">
        <v>9</v>
      </c>
      <c r="K44" s="125" t="s">
        <v>10</v>
      </c>
      <c r="L44" s="125" t="s">
        <v>63</v>
      </c>
      <c r="M44" s="124" t="s">
        <v>207</v>
      </c>
      <c r="N44" s="124" t="s">
        <v>207</v>
      </c>
    </row>
    <row r="45" spans="1:14" ht="66">
      <c r="A45" s="1">
        <v>43</v>
      </c>
      <c r="B45" s="124" t="s">
        <v>114</v>
      </c>
      <c r="C45" s="124" t="s">
        <v>208</v>
      </c>
      <c r="D45" s="2">
        <v>46077.548611111109</v>
      </c>
      <c r="E45" s="124" t="s">
        <v>132</v>
      </c>
      <c r="F45" s="124" t="s">
        <v>209</v>
      </c>
      <c r="G45" s="124" t="s">
        <v>306</v>
      </c>
      <c r="H45" s="124" t="s">
        <v>84</v>
      </c>
      <c r="I45" s="125" t="s">
        <v>26</v>
      </c>
      <c r="J45" s="125" t="s">
        <v>50</v>
      </c>
      <c r="K45" s="125" t="s">
        <v>28</v>
      </c>
      <c r="L45" s="125" t="s">
        <v>11</v>
      </c>
      <c r="M45" s="124" t="s">
        <v>210</v>
      </c>
      <c r="N45" s="124" t="s">
        <v>210</v>
      </c>
    </row>
    <row r="46" spans="1:14" ht="66">
      <c r="A46" s="1">
        <v>44</v>
      </c>
      <c r="B46" s="124" t="s">
        <v>177</v>
      </c>
      <c r="C46" s="124" t="s">
        <v>211</v>
      </c>
      <c r="D46" s="2">
        <v>46077.927777777775</v>
      </c>
      <c r="E46" s="124" t="s">
        <v>212</v>
      </c>
      <c r="F46" s="124" t="s">
        <v>213</v>
      </c>
      <c r="G46" s="124" t="s">
        <v>333</v>
      </c>
      <c r="H46" s="124" t="s">
        <v>84</v>
      </c>
      <c r="I46" s="125" t="s">
        <v>78</v>
      </c>
      <c r="J46" s="125" t="s">
        <v>19</v>
      </c>
      <c r="K46" s="125" t="s">
        <v>10</v>
      </c>
      <c r="L46" s="125" t="s">
        <v>11</v>
      </c>
      <c r="M46" s="124" t="s">
        <v>214</v>
      </c>
      <c r="N46" s="124" t="s">
        <v>214</v>
      </c>
    </row>
    <row r="47" spans="1:14" ht="82.5">
      <c r="A47" s="1">
        <v>48</v>
      </c>
      <c r="B47" s="124" t="s">
        <v>187</v>
      </c>
      <c r="C47" s="124" t="s">
        <v>226</v>
      </c>
      <c r="D47" s="2">
        <v>46091.791666666664</v>
      </c>
      <c r="E47" s="124" t="s">
        <v>227</v>
      </c>
      <c r="F47" s="124" t="s">
        <v>228</v>
      </c>
      <c r="G47" s="124" t="s">
        <v>337</v>
      </c>
      <c r="H47" s="124" t="s">
        <v>9</v>
      </c>
      <c r="I47" s="125" t="s">
        <v>9</v>
      </c>
      <c r="J47" s="125" t="s">
        <v>27</v>
      </c>
      <c r="K47" s="125" t="s">
        <v>10</v>
      </c>
      <c r="L47" s="125" t="s">
        <v>11</v>
      </c>
      <c r="M47" s="124" t="s">
        <v>229</v>
      </c>
      <c r="N47" s="124" t="s">
        <v>229</v>
      </c>
    </row>
    <row r="48" spans="1:14" ht="66">
      <c r="A48" s="1">
        <v>47</v>
      </c>
      <c r="B48" s="124" t="s">
        <v>37</v>
      </c>
      <c r="C48" s="124" t="s">
        <v>222</v>
      </c>
      <c r="D48" s="2">
        <v>46092.416666666664</v>
      </c>
      <c r="E48" s="124" t="s">
        <v>223</v>
      </c>
      <c r="F48" s="124" t="s">
        <v>224</v>
      </c>
      <c r="G48" s="124" t="s">
        <v>336</v>
      </c>
      <c r="H48" s="124" t="s">
        <v>56</v>
      </c>
      <c r="I48" s="125" t="s">
        <v>26</v>
      </c>
      <c r="J48" s="125" t="s">
        <v>27</v>
      </c>
      <c r="K48" s="125" t="s">
        <v>20</v>
      </c>
      <c r="L48" s="125" t="s">
        <v>11</v>
      </c>
      <c r="M48" s="124" t="s">
        <v>225</v>
      </c>
      <c r="N48" s="124" t="s">
        <v>225</v>
      </c>
    </row>
    <row r="49" spans="1:14" ht="66">
      <c r="A49" s="1">
        <v>46</v>
      </c>
      <c r="B49" s="124" t="s">
        <v>110</v>
      </c>
      <c r="C49" s="124" t="s">
        <v>219</v>
      </c>
      <c r="D49" s="2">
        <v>46093.0625</v>
      </c>
      <c r="E49" s="124" t="s">
        <v>334</v>
      </c>
      <c r="F49" s="124" t="s">
        <v>220</v>
      </c>
      <c r="G49" s="124" t="s">
        <v>335</v>
      </c>
      <c r="H49" s="124" t="s">
        <v>84</v>
      </c>
      <c r="I49" s="125" t="s">
        <v>100</v>
      </c>
      <c r="J49" s="125" t="s">
        <v>50</v>
      </c>
      <c r="K49" s="125" t="s">
        <v>58</v>
      </c>
      <c r="L49" s="125" t="s">
        <v>79</v>
      </c>
      <c r="M49" s="124" t="s">
        <v>221</v>
      </c>
      <c r="N49" s="124" t="s">
        <v>221</v>
      </c>
    </row>
    <row r="50" spans="1:14" ht="66">
      <c r="A50" s="1">
        <v>60</v>
      </c>
      <c r="B50" s="124" t="s">
        <v>359</v>
      </c>
      <c r="C50" s="124" t="s">
        <v>361</v>
      </c>
      <c r="D50" s="2">
        <v>46103.32916666667</v>
      </c>
      <c r="E50" s="124" t="s">
        <v>346</v>
      </c>
      <c r="F50" s="124" t="s">
        <v>347</v>
      </c>
      <c r="G50" s="124" t="s">
        <v>348</v>
      </c>
      <c r="H50" s="124" t="s">
        <v>41</v>
      </c>
      <c r="I50" s="125" t="s">
        <v>250</v>
      </c>
      <c r="J50" s="125" t="s">
        <v>19</v>
      </c>
      <c r="K50" s="125" t="s">
        <v>28</v>
      </c>
      <c r="L50" s="125" t="s">
        <v>9</v>
      </c>
      <c r="M50" s="124" t="s">
        <v>363</v>
      </c>
      <c r="N50" s="124"/>
    </row>
    <row r="51" spans="1:14" ht="66">
      <c r="A51" s="1">
        <v>49</v>
      </c>
      <c r="B51" s="124" t="s">
        <v>230</v>
      </c>
      <c r="C51" s="124" t="s">
        <v>257</v>
      </c>
      <c r="D51" s="2">
        <v>46106.673611111109</v>
      </c>
      <c r="E51" s="124" t="s">
        <v>231</v>
      </c>
      <c r="F51" s="124" t="s">
        <v>258</v>
      </c>
      <c r="G51" s="124" t="s">
        <v>338</v>
      </c>
      <c r="H51" s="124" t="s">
        <v>62</v>
      </c>
      <c r="I51" s="125" t="s">
        <v>57</v>
      </c>
      <c r="J51" s="125" t="s">
        <v>90</v>
      </c>
      <c r="K51" s="125" t="s">
        <v>28</v>
      </c>
      <c r="L51" s="125" t="s">
        <v>11</v>
      </c>
      <c r="M51" s="124" t="s">
        <v>259</v>
      </c>
      <c r="N51" s="124" t="s">
        <v>259</v>
      </c>
    </row>
    <row r="52" spans="1:14" ht="66">
      <c r="A52" s="1">
        <v>50</v>
      </c>
      <c r="B52" s="124" t="s">
        <v>144</v>
      </c>
      <c r="C52" s="124" t="s">
        <v>235</v>
      </c>
      <c r="D52" s="2">
        <v>46107.625</v>
      </c>
      <c r="E52" s="124" t="s">
        <v>236</v>
      </c>
      <c r="F52" s="124" t="s">
        <v>237</v>
      </c>
      <c r="G52" s="124" t="s">
        <v>339</v>
      </c>
      <c r="H52" s="124" t="s">
        <v>62</v>
      </c>
      <c r="I52" s="125" t="s">
        <v>57</v>
      </c>
      <c r="J52" s="125" t="s">
        <v>90</v>
      </c>
      <c r="K52" s="125" t="s">
        <v>10</v>
      </c>
      <c r="L52" s="125" t="s">
        <v>11</v>
      </c>
      <c r="M52" s="124" t="s">
        <v>238</v>
      </c>
      <c r="N52" s="124" t="s">
        <v>238</v>
      </c>
    </row>
    <row r="53" spans="1:14" ht="66">
      <c r="A53" s="1">
        <v>51</v>
      </c>
      <c r="B53" s="124" t="s">
        <v>144</v>
      </c>
      <c r="C53" s="124" t="s">
        <v>260</v>
      </c>
      <c r="D53" s="2">
        <v>46107.625</v>
      </c>
      <c r="E53" s="124" t="s">
        <v>236</v>
      </c>
      <c r="F53" s="124" t="s">
        <v>261</v>
      </c>
      <c r="G53" s="124" t="s">
        <v>290</v>
      </c>
      <c r="H53" s="124" t="s">
        <v>7</v>
      </c>
      <c r="I53" s="125" t="s">
        <v>18</v>
      </c>
      <c r="J53" s="125" t="s">
        <v>50</v>
      </c>
      <c r="K53" s="125" t="s">
        <v>10</v>
      </c>
      <c r="L53" s="125" t="s">
        <v>11</v>
      </c>
      <c r="M53" s="124" t="s">
        <v>262</v>
      </c>
      <c r="N53" s="124" t="s">
        <v>262</v>
      </c>
    </row>
    <row r="54" spans="1:14" ht="33">
      <c r="A54" s="1">
        <v>52</v>
      </c>
      <c r="B54" s="124" t="s">
        <v>65</v>
      </c>
      <c r="C54" s="124" t="s">
        <v>263</v>
      </c>
      <c r="D54" s="2">
        <v>46110.541666666664</v>
      </c>
      <c r="E54" s="124" t="s">
        <v>264</v>
      </c>
      <c r="F54" s="124" t="s">
        <v>265</v>
      </c>
      <c r="G54" s="124" t="s">
        <v>340</v>
      </c>
      <c r="H54" s="124" t="s">
        <v>9</v>
      </c>
      <c r="I54" s="125" t="s">
        <v>26</v>
      </c>
      <c r="J54" s="125" t="s">
        <v>50</v>
      </c>
      <c r="K54" s="125" t="s">
        <v>10</v>
      </c>
      <c r="L54" s="125" t="s">
        <v>11</v>
      </c>
      <c r="M54" s="124" t="s">
        <v>266</v>
      </c>
      <c r="N54" s="124" t="s">
        <v>266</v>
      </c>
    </row>
    <row r="55" spans="1:14" ht="33">
      <c r="A55" s="1">
        <v>55</v>
      </c>
      <c r="B55" s="124" t="s">
        <v>110</v>
      </c>
      <c r="C55" s="124" t="s">
        <v>456</v>
      </c>
      <c r="D55" s="2">
        <v>46113.854166666664</v>
      </c>
      <c r="E55" s="124" t="s">
        <v>245</v>
      </c>
      <c r="F55" s="124" t="s">
        <v>442</v>
      </c>
      <c r="G55" s="124" t="s">
        <v>443</v>
      </c>
      <c r="H55" s="124" t="s">
        <v>7</v>
      </c>
      <c r="I55" s="125" t="s">
        <v>121</v>
      </c>
      <c r="J55" s="125" t="s">
        <v>9</v>
      </c>
      <c r="K55" s="125" t="s">
        <v>20</v>
      </c>
      <c r="L55" s="125" t="s">
        <v>79</v>
      </c>
      <c r="M55" s="124" t="s">
        <v>246</v>
      </c>
      <c r="N55" s="124" t="s">
        <v>246</v>
      </c>
    </row>
    <row r="56" spans="1:14">
      <c r="A56" s="1">
        <v>54</v>
      </c>
      <c r="B56" s="124" t="s">
        <v>114</v>
      </c>
      <c r="C56" s="124" t="s">
        <v>243</v>
      </c>
      <c r="D56" s="2">
        <v>46114.409722222219</v>
      </c>
      <c r="E56" s="124" t="s">
        <v>160</v>
      </c>
      <c r="F56" s="124" t="s">
        <v>453</v>
      </c>
      <c r="G56" s="124" t="s">
        <v>454</v>
      </c>
      <c r="H56" s="124" t="s">
        <v>7</v>
      </c>
      <c r="I56" s="125" t="s">
        <v>142</v>
      </c>
      <c r="J56" s="125" t="s">
        <v>19</v>
      </c>
      <c r="K56" s="125" t="s">
        <v>58</v>
      </c>
      <c r="L56" s="125" t="s">
        <v>11</v>
      </c>
      <c r="M56" s="124" t="s">
        <v>244</v>
      </c>
      <c r="N56" s="124" t="s">
        <v>244</v>
      </c>
    </row>
    <row r="57" spans="1:14" ht="33">
      <c r="A57" s="1">
        <v>53</v>
      </c>
      <c r="B57" s="124" t="s">
        <v>37</v>
      </c>
      <c r="C57" s="124" t="s">
        <v>241</v>
      </c>
      <c r="D57" s="2">
        <v>46115.379166666666</v>
      </c>
      <c r="E57" s="124" t="s">
        <v>223</v>
      </c>
      <c r="F57" s="124" t="s">
        <v>242</v>
      </c>
      <c r="G57" s="124" t="s">
        <v>450</v>
      </c>
      <c r="H57" s="124" t="s">
        <v>458</v>
      </c>
      <c r="I57" s="125" t="s">
        <v>26</v>
      </c>
      <c r="J57" s="125" t="s">
        <v>19</v>
      </c>
      <c r="K57" s="125" t="s">
        <v>20</v>
      </c>
      <c r="L57" s="125" t="s">
        <v>11</v>
      </c>
      <c r="M57" s="124" t="s">
        <v>451</v>
      </c>
      <c r="N57" s="124" t="s">
        <v>452</v>
      </c>
    </row>
    <row r="58" spans="1:14" ht="33">
      <c r="A58" s="1">
        <v>114</v>
      </c>
      <c r="B58" s="124" t="s">
        <v>144</v>
      </c>
      <c r="C58" s="124" t="s">
        <v>267</v>
      </c>
      <c r="D58" s="2">
        <v>46125.340277777781</v>
      </c>
      <c r="E58" s="124" t="s">
        <v>268</v>
      </c>
      <c r="F58" s="124" t="s">
        <v>269</v>
      </c>
      <c r="G58" s="124" t="s">
        <v>449</v>
      </c>
      <c r="H58" s="124" t="s">
        <v>7</v>
      </c>
      <c r="I58" s="125" t="s">
        <v>18</v>
      </c>
      <c r="J58" s="125" t="s">
        <v>19</v>
      </c>
      <c r="K58" s="125" t="s">
        <v>58</v>
      </c>
      <c r="L58" s="125" t="s">
        <v>63</v>
      </c>
      <c r="M58" s="124" t="s">
        <v>270</v>
      </c>
      <c r="N58" s="124" t="s">
        <v>270</v>
      </c>
    </row>
    <row r="59" spans="1:14">
      <c r="A59" s="1">
        <v>115</v>
      </c>
      <c r="B59" s="124" t="s">
        <v>144</v>
      </c>
      <c r="C59" s="124" t="s">
        <v>445</v>
      </c>
      <c r="D59" s="2">
        <v>46125.430555555555</v>
      </c>
      <c r="E59" s="124" t="s">
        <v>271</v>
      </c>
      <c r="F59" s="124" t="s">
        <v>446</v>
      </c>
      <c r="G59" s="124" t="s">
        <v>447</v>
      </c>
      <c r="H59" s="124" t="s">
        <v>7</v>
      </c>
      <c r="I59" s="125" t="s">
        <v>18</v>
      </c>
      <c r="J59" s="125" t="s">
        <v>448</v>
      </c>
      <c r="K59" s="125" t="s">
        <v>20</v>
      </c>
      <c r="L59" s="125" t="s">
        <v>11</v>
      </c>
      <c r="M59" s="124" t="s">
        <v>272</v>
      </c>
      <c r="N59" s="124" t="s">
        <v>272</v>
      </c>
    </row>
    <row r="60" spans="1:14" ht="33">
      <c r="A60" s="1">
        <v>59</v>
      </c>
      <c r="B60" s="124" t="s">
        <v>144</v>
      </c>
      <c r="C60" s="124" t="s">
        <v>278</v>
      </c>
      <c r="D60" s="2">
        <v>46127.4375</v>
      </c>
      <c r="E60" s="124" t="s">
        <v>279</v>
      </c>
      <c r="F60" s="124" t="s">
        <v>344</v>
      </c>
      <c r="G60" s="124" t="s">
        <v>345</v>
      </c>
      <c r="H60" s="124" t="s">
        <v>280</v>
      </c>
      <c r="I60" s="125" t="s">
        <v>9</v>
      </c>
      <c r="J60" s="125" t="s">
        <v>19</v>
      </c>
      <c r="K60" s="125" t="s">
        <v>28</v>
      </c>
      <c r="L60" s="125" t="s">
        <v>63</v>
      </c>
      <c r="M60" s="124" t="s">
        <v>281</v>
      </c>
      <c r="N60" s="124"/>
    </row>
    <row r="61" spans="1:14" ht="33">
      <c r="A61" s="1">
        <v>116</v>
      </c>
      <c r="B61" s="124" t="s">
        <v>187</v>
      </c>
      <c r="C61" s="124" t="s">
        <v>273</v>
      </c>
      <c r="D61" s="2">
        <v>46128.958333333336</v>
      </c>
      <c r="E61" s="124" t="s">
        <v>274</v>
      </c>
      <c r="F61" s="124" t="s">
        <v>275</v>
      </c>
      <c r="G61" s="124" t="s">
        <v>444</v>
      </c>
      <c r="H61" s="124" t="s">
        <v>84</v>
      </c>
      <c r="I61" s="125" t="s">
        <v>276</v>
      </c>
      <c r="J61" s="125" t="s">
        <v>9</v>
      </c>
      <c r="K61" s="125" t="s">
        <v>20</v>
      </c>
      <c r="L61" s="125" t="s">
        <v>11</v>
      </c>
      <c r="M61" s="124" t="s">
        <v>277</v>
      </c>
      <c r="N61" s="124" t="s">
        <v>277</v>
      </c>
    </row>
    <row r="62" spans="1:14">
      <c r="A62" s="1">
        <v>58</v>
      </c>
      <c r="B62" s="124" t="s">
        <v>358</v>
      </c>
      <c r="C62" s="124" t="s">
        <v>360</v>
      </c>
      <c r="D62" s="2">
        <v>46130.944444444445</v>
      </c>
      <c r="E62" s="124" t="s">
        <v>341</v>
      </c>
      <c r="F62" s="124" t="s">
        <v>342</v>
      </c>
      <c r="G62" s="124" t="s">
        <v>343</v>
      </c>
      <c r="H62" s="124" t="s">
        <v>84</v>
      </c>
      <c r="I62" s="125" t="s">
        <v>100</v>
      </c>
      <c r="J62" s="125" t="s">
        <v>19</v>
      </c>
      <c r="K62" s="125" t="s">
        <v>28</v>
      </c>
      <c r="L62" s="125" t="s">
        <v>11</v>
      </c>
      <c r="M62" s="124" t="s">
        <v>362</v>
      </c>
      <c r="N62" s="124"/>
    </row>
    <row r="63" spans="1:14">
      <c r="A63" s="1">
        <v>118</v>
      </c>
      <c r="B63" s="124" t="s">
        <v>460</v>
      </c>
      <c r="C63" s="124" t="s">
        <v>461</v>
      </c>
      <c r="D63" s="2">
        <v>46140.975694444445</v>
      </c>
      <c r="E63" s="124" t="s">
        <v>462</v>
      </c>
      <c r="F63" s="124" t="s">
        <v>463</v>
      </c>
      <c r="G63" s="124" t="s">
        <v>464</v>
      </c>
      <c r="H63" s="124" t="s">
        <v>84</v>
      </c>
      <c r="I63" s="125" t="s">
        <v>465</v>
      </c>
      <c r="J63" s="125" t="s">
        <v>466</v>
      </c>
      <c r="K63" s="125" t="s">
        <v>28</v>
      </c>
      <c r="L63" s="125" t="s">
        <v>11</v>
      </c>
      <c r="M63" s="124" t="s">
        <v>467</v>
      </c>
      <c r="N63" s="124"/>
    </row>
    <row r="64" spans="1:14" ht="181.5">
      <c r="A64" s="1">
        <v>119</v>
      </c>
      <c r="B64" s="124" t="s">
        <v>114</v>
      </c>
      <c r="C64" s="124" t="s">
        <v>468</v>
      </c>
      <c r="D64" s="2">
        <v>46143.840277777781</v>
      </c>
      <c r="E64" s="124" t="s">
        <v>469</v>
      </c>
      <c r="F64" s="124" t="s">
        <v>470</v>
      </c>
      <c r="G64" s="124" t="s">
        <v>471</v>
      </c>
      <c r="H64" s="124" t="s">
        <v>458</v>
      </c>
      <c r="I64" s="125" t="s">
        <v>26</v>
      </c>
      <c r="J64" s="125" t="s">
        <v>27</v>
      </c>
      <c r="K64" s="125" t="s">
        <v>28</v>
      </c>
      <c r="L64" s="125" t="s">
        <v>63</v>
      </c>
      <c r="M64" s="124" t="s">
        <v>472</v>
      </c>
      <c r="N64" s="124"/>
    </row>
    <row r="65" spans="1:14">
      <c r="A65" s="1">
        <v>120</v>
      </c>
      <c r="B65" s="124" t="s">
        <v>187</v>
      </c>
      <c r="C65" s="124" t="s">
        <v>473</v>
      </c>
      <c r="D65" s="2">
        <v>46145.949305555558</v>
      </c>
      <c r="E65" s="124" t="s">
        <v>474</v>
      </c>
      <c r="F65" s="124" t="s">
        <v>475</v>
      </c>
      <c r="G65" s="124" t="s">
        <v>476</v>
      </c>
      <c r="H65" s="124" t="s">
        <v>280</v>
      </c>
      <c r="I65" s="125" t="s">
        <v>465</v>
      </c>
      <c r="J65" s="125" t="s">
        <v>43</v>
      </c>
      <c r="K65" s="125" t="s">
        <v>28</v>
      </c>
      <c r="L65" s="125" t="s">
        <v>477</v>
      </c>
      <c r="M65" s="124" t="s">
        <v>478</v>
      </c>
      <c r="N65" s="124"/>
    </row>
    <row r="66" spans="1:14" ht="33">
      <c r="A66" s="1">
        <v>121</v>
      </c>
      <c r="B66" s="124" t="s">
        <v>358</v>
      </c>
      <c r="C66" s="124" t="s">
        <v>479</v>
      </c>
      <c r="D66" s="2">
        <v>46148.775000000001</v>
      </c>
      <c r="E66" s="124" t="s">
        <v>480</v>
      </c>
      <c r="F66" s="124" t="s">
        <v>481</v>
      </c>
      <c r="G66" s="124" t="s">
        <v>482</v>
      </c>
      <c r="H66" s="124" t="s">
        <v>483</v>
      </c>
      <c r="I66" s="125" t="s">
        <v>465</v>
      </c>
      <c r="J66" s="125" t="s">
        <v>50</v>
      </c>
      <c r="K66" s="125" t="s">
        <v>20</v>
      </c>
      <c r="L66" s="125" t="s">
        <v>11</v>
      </c>
      <c r="M66" s="124" t="s">
        <v>484</v>
      </c>
      <c r="N66" s="124"/>
    </row>
    <row r="67" spans="1:14" ht="33">
      <c r="A67" s="1">
        <v>123</v>
      </c>
      <c r="B67" s="124" t="s">
        <v>37</v>
      </c>
      <c r="C67" s="124" t="s">
        <v>493</v>
      </c>
      <c r="D67" s="2">
        <v>46149.430555555555</v>
      </c>
      <c r="E67" s="124" t="s">
        <v>494</v>
      </c>
      <c r="F67" s="124" t="s">
        <v>495</v>
      </c>
      <c r="G67" s="124" t="s">
        <v>496</v>
      </c>
      <c r="H67" s="124" t="s">
        <v>497</v>
      </c>
      <c r="I67" s="125" t="s">
        <v>498</v>
      </c>
      <c r="J67" s="125" t="s">
        <v>19</v>
      </c>
      <c r="K67" s="125" t="s">
        <v>28</v>
      </c>
      <c r="L67" s="125" t="s">
        <v>11</v>
      </c>
      <c r="M67" s="124" t="s">
        <v>499</v>
      </c>
      <c r="N67" s="124"/>
    </row>
    <row r="68" spans="1:14" ht="33">
      <c r="A68" s="1">
        <v>122</v>
      </c>
      <c r="B68" s="124" t="s">
        <v>144</v>
      </c>
      <c r="C68" s="124" t="s">
        <v>485</v>
      </c>
      <c r="D68" s="2">
        <v>46150.395833333336</v>
      </c>
      <c r="E68" s="124" t="s">
        <v>486</v>
      </c>
      <c r="F68" s="124" t="s">
        <v>487</v>
      </c>
      <c r="G68" s="124" t="s">
        <v>488</v>
      </c>
      <c r="H68" s="124" t="s">
        <v>489</v>
      </c>
      <c r="I68" s="125" t="s">
        <v>42</v>
      </c>
      <c r="J68" s="125" t="s">
        <v>490</v>
      </c>
      <c r="K68" s="125" t="s">
        <v>10</v>
      </c>
      <c r="L68" s="125" t="s">
        <v>491</v>
      </c>
      <c r="M68" s="124" t="s">
        <v>492</v>
      </c>
      <c r="N68" s="124"/>
    </row>
    <row r="69" spans="1:14" ht="33">
      <c r="A69" s="1">
        <v>124</v>
      </c>
      <c r="B69" s="124" t="s">
        <v>110</v>
      </c>
      <c r="C69" s="124" t="s">
        <v>500</v>
      </c>
      <c r="D69" s="2">
        <v>46154.8125</v>
      </c>
      <c r="E69" s="124" t="s">
        <v>501</v>
      </c>
      <c r="F69" s="124" t="s">
        <v>502</v>
      </c>
      <c r="G69" s="124" t="s">
        <v>503</v>
      </c>
      <c r="H69" s="124" t="s">
        <v>202</v>
      </c>
      <c r="I69" s="125" t="s">
        <v>121</v>
      </c>
      <c r="J69" s="125" t="s">
        <v>466</v>
      </c>
      <c r="K69" s="125" t="s">
        <v>58</v>
      </c>
      <c r="L69" s="125" t="s">
        <v>477</v>
      </c>
      <c r="M69" s="124" t="s">
        <v>504</v>
      </c>
      <c r="N69" s="12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0017-AD7C-4554-8D79-BA5F60AA8239}">
  <sheetPr>
    <tabColor rgb="FFFFFF00"/>
    <pageSetUpPr fitToPage="1"/>
  </sheetPr>
  <dimension ref="A1:S48"/>
  <sheetViews>
    <sheetView showGridLines="0" view="pageBreakPreview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26-04-01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박재민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21" t="s">
        <v>456</v>
      </c>
      <c r="C7" s="122"/>
      <c r="D7" s="122"/>
      <c r="E7" s="122"/>
      <c r="F7" s="122"/>
      <c r="G7" s="122"/>
      <c r="H7" s="122"/>
      <c r="I7" s="123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01일 20시 30분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4호 프로브 계단실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계단턱에 걸리거나 미끄러져서 바닥에 몸이 부딪힘
원인: 이동 시 난간을 잡지 않고 빠른 속도로 이동함.</v>
      </c>
      <c r="C11" s="76"/>
      <c r="D11" s="76"/>
      <c r="E11" s="76"/>
      <c r="F11" s="76"/>
      <c r="G11" s="76"/>
      <c r="H11" s="76"/>
      <c r="I11" s="77"/>
      <c r="J11" s="15" t="s">
        <v>455</v>
      </c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>
        <v>55</v>
      </c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전도</v>
      </c>
      <c r="K17" s="15"/>
      <c r="L17" s="15" t="str">
        <f>_xlfn.XLOOKUP(B7,near_miss_excel_view!$C:$C,near_miss_excel_view!I:I,"없음",0,1)</f>
        <v>안전난간</v>
      </c>
      <c r="M17" s="15"/>
      <c r="N17" s="15" t="str">
        <f>_xlfn.XLOOKUP(B7,near_miss_excel_view!$C:$C,near_miss_excel_view!J:J,"없음",0,1)</f>
        <v>기타</v>
      </c>
      <c r="O17" s="15"/>
      <c r="P17" s="15" t="str">
        <f>_xlfn.XLOOKUP(B7,near_miss_excel_view!$C:$C,near_miss_excel_view!K:K,"없음",0,1)</f>
        <v>몸의 균형이 불안정해짐</v>
      </c>
      <c r="Q17" s="15"/>
      <c r="R17" s="15" t="str">
        <f>_xlfn.XLOOKUP(B7,near_miss_excel_view!$C:$C,near_miss_excel_view!L:L,"없음",0,1)</f>
        <v>피로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5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0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1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1</v>
      </c>
      <c r="R20" s="15" t="s">
        <v>388</v>
      </c>
      <c r="S20" s="15" t="b">
        <f>IF($R$17=R20,TRUE,FALSE)</f>
        <v>1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1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IF(COUNTIF(N17,"*기타*"),TRUE,FALSE)</f>
        <v>1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서두르지 않고 작업을 하겠습니다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0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1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2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69A23E-63DB-468A-9D08-CD22F78EF2BD}">
          <x14:formula1>
            <xm:f>near_miss_excel_view!$C:$C</xm:f>
          </x14:formula1>
          <xm:sqref>K9 B7:I7</xm:sqref>
        </x14:dataValidation>
        <x14:dataValidation type="list" allowBlank="1" showInputMessage="1" showErrorMessage="1" xr:uid="{6ADC25FA-FD04-4562-A7CD-C4D529C355CC}">
          <x14:formula1>
            <xm:f>near_miss_excel_view!$A:$A</xm:f>
          </x14:formula1>
          <xm:sqref>J12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AA01-D6D7-4FE2-890E-91E506F33023}">
  <sheetPr>
    <tabColor rgb="FFFFFF00"/>
    <pageSetUpPr fitToPage="1"/>
  </sheetPr>
  <dimension ref="A1:S48"/>
  <sheetViews>
    <sheetView showGridLines="0" view="pageBreakPreview" topLeftCell="A20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26-04-02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장진혁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21" t="s">
        <v>243</v>
      </c>
      <c r="C7" s="122"/>
      <c r="D7" s="122"/>
      <c r="E7" s="122"/>
      <c r="F7" s="122"/>
      <c r="G7" s="122"/>
      <c r="H7" s="122"/>
      <c r="I7" s="123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02일 09시 50분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4호 kiln inlet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4k inlet 이젝터 청소를 하다 바닥에 나사가 떨어짐, 나사를 찾으려 움직이다 바닥에 넘어질 뻔함
원인: 바닥 근처에 공구가방이 있었는데 나사를 찾으려다 확인하지 못함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전도</v>
      </c>
      <c r="K17" s="15"/>
      <c r="L17" s="15" t="str">
        <f>_xlfn.XLOOKUP(B7,near_miss_excel_view!$C:$C,near_miss_excel_view!I:I,"없음",0,1)</f>
        <v>정리정돈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위험경로에 위치함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5" si="1">IF($N$17=N19,TRUE,FALSE)</f>
        <v>0</v>
      </c>
      <c r="P19" s="15" t="s">
        <v>35</v>
      </c>
      <c r="Q19" s="15" t="b">
        <f>IF($P$17=P19,TRUE,FALSE)</f>
        <v>1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1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IF(COUNTIF(N17,"*기타*"),TRUE,FALSE)</f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1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주변 동선 확인 후 작업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6B5AAE-73F1-4C1A-A69A-2B2986F0A26A}">
          <x14:formula1>
            <xm:f>near_miss_excel_view!$C:$C</xm:f>
          </x14:formula1>
          <xm:sqref>B7:I7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E1CB-8139-488F-8B88-645016252C69}">
  <sheetPr>
    <tabColor rgb="FFFFFF00"/>
    <pageSetUpPr fitToPage="1"/>
  </sheetPr>
  <dimension ref="A1:S48"/>
  <sheetViews>
    <sheetView showGridLines="0" view="pageBreakPreview" topLeftCell="A10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26-04-03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김도담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241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03일 09시 06분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4k kiln inlet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파이브렌치를 사용하다 헛돌아 넘어짐
원인: 공구를 체결 시 손잡이와 파이프가 수직상태에 놓이지 않은 상태로, 몸의 위치가 손잡이 중심선에서 많이 벗어난 상태였음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절단/찰과상</v>
      </c>
      <c r="K17" s="15"/>
      <c r="L17" s="15" t="str">
        <f>_xlfn.XLOOKUP(B7,near_miss_excel_view!$C:$C,near_miss_excel_view!I:I,"없음",0,1)</f>
        <v>도구 및 장비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몸의 균형이 불안정해짐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5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1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IF(COUNTIF(N17,"*기타*"),TRUE,FALSE)</f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1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459</v>
      </c>
      <c r="K34" s="15" t="b">
        <f t="shared" si="0"/>
        <v>1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급하게 작업하기보단 공구가 체결된거 확인후_x000D_
안전하게 작업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38F24D-7A84-4508-9B69-7548F9549119}">
          <x14:formula1>
            <xm:f>near_miss_excel_view!$C:$C</xm:f>
          </x14:formula1>
          <xm:sqref>B7:I7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ACBC-DB04-46BD-AABC-D01624E7CB97}">
  <sheetPr>
    <tabColor rgb="FFFFFF00"/>
    <pageSetUpPr fitToPage="1"/>
  </sheetPr>
  <dimension ref="A1:S48"/>
  <sheetViews>
    <sheetView showGridLines="0" view="pageBreakPreview" topLeftCell="A13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26-04-13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이정민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267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13일 08시 10분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현대기전 사무실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판넬을 사무실 밖으로 빼기 위해 구르마로 이동 중 사무실 문 앞 턱에서 판넬이 기울어지며 넘어감 그 후 넘어가는 쪽에 있던 인원이 머리를 부딪힘.
원인: 서두르다가 이동경로의 장애물을 생각하지 못함.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전도</v>
      </c>
      <c r="K17" s="15"/>
      <c r="L17" s="15" t="str">
        <f>_xlfn.XLOOKUP(B7,near_miss_excel_view!$C:$C,near_miss_excel_view!I:I,"없음",0,1)</f>
        <v>통로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위험경로에 위치함</v>
      </c>
      <c r="Q17" s="15"/>
      <c r="R17" s="15" t="str">
        <f>_xlfn.XLOOKUP(B7,near_miss_excel_view!$C:$C,near_miss_excel_view!L:L,"없음",0,1)</f>
        <v>자만심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1</v>
      </c>
      <c r="N19" s="15" t="s">
        <v>385</v>
      </c>
      <c r="O19" s="15" t="b">
        <f t="shared" ref="O19:O25" si="1">IF($N$17=N19,TRUE,FALSE)</f>
        <v>0</v>
      </c>
      <c r="P19" s="15" t="s">
        <v>35</v>
      </c>
      <c r="Q19" s="15" t="b">
        <f>IF($P$17=P19,TRUE,FALSE)</f>
        <v>1</v>
      </c>
      <c r="R19" s="15" t="s">
        <v>36</v>
      </c>
      <c r="S19" s="15" t="b">
        <f>IF($R$17=R19,TRUE,FALSE)</f>
        <v>0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1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1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IF(COUNTIF(N17,"*기타*"),TRUE,FALSE)</f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사용했던 구르마보다 큰 규격의 구르마를 사용하고 판넬을 세워서 이동하지 않고 눕혀서 2명 이상의 인원이 함께 작업을 하였습니다.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285AFF-C3A5-4AB3-BFF8-439EEEBCE8D8}">
          <x14:formula1>
            <xm:f>near_miss_excel_view!$C:$C</xm:f>
          </x14:formula1>
          <xm:sqref>B7:I7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19D7-4C8D-4D18-8B56-B130ED44DF14}">
  <sheetPr>
    <tabColor rgb="FFFFFF00"/>
    <pageSetUpPr fitToPage="1"/>
  </sheetPr>
  <dimension ref="A1:S48"/>
  <sheetViews>
    <sheetView showGridLines="0" view="pageBreakPreview" topLeftCell="A19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26-04-13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이정민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445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13일 10시 20분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광산 320갱 BC2벨트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BC2벨트 구조물 위에 안착해놨던 이동식 비계를 CRUSHER방향으로 테스트 겸 밀던 중 벨트위에 고여있던 물들과 부석들이 발에 걸리며 미끄러질뻔함.
원인: 이동하기 전에 이동경로에 장애물이 있는지 사전 조사실시 미흡.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전도</v>
      </c>
      <c r="K17" s="15"/>
      <c r="L17" s="15" t="str">
        <f>_xlfn.XLOOKUP(B7,near_miss_excel_view!$C:$C,near_miss_excel_view!I:I,"없음",0,1)</f>
        <v>통로</v>
      </c>
      <c r="M17" s="15"/>
      <c r="N17" s="15" t="str">
        <f>_xlfn.XLOOKUP(B7,near_miss_excel_view!$C:$C,near_miss_excel_view!J:J,"없음",0,1)</f>
        <v>기타: 무거운 짐 취급</v>
      </c>
      <c r="O17" s="15"/>
      <c r="P17" s="15" t="str">
        <f>_xlfn.XLOOKUP(B7,near_miss_excel_view!$C:$C,near_miss_excel_view!K:K,"없음",0,1)</f>
        <v>몸의 균형이 불안정해짐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1</v>
      </c>
      <c r="N19" s="15" t="s">
        <v>385</v>
      </c>
      <c r="O19" s="15" t="b">
        <f t="shared" ref="O19:O25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1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1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IF(COUNTIF(N17,"*기타*"),TRUE,FALSE)</f>
        <v>1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고여있던 물들을 벨트를 꾹 눌러 밑으로 흘려보내고 부석들도 땅으로 밀어 치워둠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84FC14-D1E8-4552-A49E-711B79F426D3}">
          <x14:formula1>
            <xm:f>near_miss_excel_view!$C:$C</xm:f>
          </x14:formula1>
          <xm:sqref>B7:I7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FD43-4758-4296-927F-35EB340F13CE}">
  <sheetPr>
    <tabColor rgb="FFFFFF00"/>
    <pageSetUpPr fitToPage="1"/>
  </sheetPr>
  <dimension ref="A1:S48"/>
  <sheetViews>
    <sheetView showGridLines="0" view="pageBreakPreview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26-04-15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이정민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278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15일 10시 30분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광산 bc2 벨트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트레이 작업 중 그라인더로 잔넬을 절단하던 중 쉿가루가 눈으로 튐
원인: 눈에는 보안경을 착용하고 있었지만 자르는 행위 중 아래를 보면서 작업을 해야했고 보안경이 조금씩 흘러내리는 사이 눈으로 튐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유해물질 접촉</v>
      </c>
      <c r="K17" s="15"/>
      <c r="L17" s="15" t="str">
        <f>_xlfn.XLOOKUP(B7,near_miss_excel_view!$C:$C,near_miss_excel_view!I:I,"없음",0,1)</f>
        <v>기타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자만심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0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f>IF($L$17=L20,TRUE,FALSE)</f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1</v>
      </c>
      <c r="R22" s="15" t="s">
        <v>396</v>
      </c>
      <c r="S22" s="15" t="b">
        <f>IF($R$17=R22,TRUE,FALSE)</f>
        <v>1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1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1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보안경을 바르게 착용하고 내 자세를 딱 고정할 수 있는 위치에서 작업시행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ECA388-1C26-45D3-AF9D-D52602E5CCAC}">
          <x14:formula1>
            <xm:f>near_miss_excel_view!$C:$C</xm:f>
          </x14:formula1>
          <xm:sqref>B7:I7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F4C3-6974-439F-9571-EB04D92EEDB7}">
  <sheetPr>
    <tabColor rgb="FFFFFF00"/>
    <pageSetUpPr fitToPage="1"/>
  </sheetPr>
  <dimension ref="A1:S48"/>
  <sheetViews>
    <sheetView showGridLines="0" view="pageBreakPreview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26-04-16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정재호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273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16일 23시 00분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4호 coal mill probe 위치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야간에 사다리 이동 중 부딪힘
원인: 조도가 낮은 상태에서 주변 확인을 하지 못함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충돌</v>
      </c>
      <c r="K17" s="15"/>
      <c r="L17" s="15" t="str">
        <f>_xlfn.XLOOKUP(B7,near_miss_excel_view!$C:$C,near_miss_excel_view!I:I,"없음",0,1)</f>
        <v>돌출부</v>
      </c>
      <c r="M17" s="15"/>
      <c r="N17" s="15" t="str">
        <f>_xlfn.XLOOKUP(B7,near_miss_excel_view!$C:$C,near_miss_excel_view!J:J,"없음",0,1)</f>
        <v>기타</v>
      </c>
      <c r="O17" s="15"/>
      <c r="P17" s="15" t="str">
        <f>_xlfn.XLOOKUP(B7,near_miss_excel_view!$C:$C,near_miss_excel_view!K:K,"없음",0,1)</f>
        <v>몸의 균형이 불안정해짐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f>IF($L$17=L20,TRUE,FALSE)</f>
        <v>1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1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1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f t="shared" ref="M22:M36" si="2">IF($L$17=L22,TRUE,FALSE)</f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f t="shared" si="2"/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f t="shared" si="2"/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si="2"/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1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야간작업중 사다리 이동 시 해드랜턴 항시 켜놓은 후 돌출부 확인 및 접지 부 확인 철저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A1AFD2-4BBA-4385-9F65-7494235BC5B9}">
          <x14:formula1>
            <xm:f>near_miss_excel_view!$C:$C</xm:f>
          </x14:formula1>
          <xm:sqref>B7:I7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FD0D-102D-44F6-9C48-A91D941E7CDD}">
  <sheetPr>
    <tabColor rgb="FFFFFF00"/>
    <pageSetUpPr fitToPage="1"/>
  </sheetPr>
  <dimension ref="A1:S48"/>
  <sheetViews>
    <sheetView showGridLines="0" view="pageBreakPreview" topLeftCell="A6" zoomScale="115" zoomScaleNormal="100" zoomScaleSheetLayoutView="115" workbookViewId="0">
      <selection activeCell="O23" sqref="O23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26-04-18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이윤성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360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18일 22시 40분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4k kiln inlet 앞 계단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4k kiln inlet Probe 점검하러 올라가려는 계단에 위치한 배관에 헬멧을 박아서 뒤로 넘어질 뻔한 사고 발생
원인: 계단 위치에 있는 배관이 너무 낮게 되어 있습니다.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충돌</v>
      </c>
      <c r="K17" s="15"/>
      <c r="L17" s="15" t="str">
        <f>_xlfn.XLOOKUP(B7,near_miss_excel_view!$C:$C,near_miss_excel_view!I:I,"없음",0,1)</f>
        <v>계단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1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1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1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재발을 방지하기 위해 헤드 라이트를 사용 후 고개와 허리를 숙이며 안전 난간을 잡고 조심히 이동하였습니다.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B7:I7"/>
    <mergeCell ref="B1:H2"/>
    <mergeCell ref="H5:I5"/>
    <mergeCell ref="B6:C6"/>
    <mergeCell ref="E6:F6"/>
    <mergeCell ref="H6:I6"/>
    <mergeCell ref="B11:I16"/>
    <mergeCell ref="A17:I17"/>
    <mergeCell ref="A18:C18"/>
    <mergeCell ref="G18:I18"/>
    <mergeCell ref="A19:B34"/>
    <mergeCell ref="D19:I26"/>
    <mergeCell ref="G27:I27"/>
    <mergeCell ref="D28:I34"/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3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9AA50D-7470-49B9-9ED7-322DC1BFCFFF}">
          <x14:formula1>
            <xm:f>near_miss_excel_view!$C:$C</xm:f>
          </x14:formula1>
          <xm:sqref>B7:I7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C19E-9948-4156-8BF9-FB332C589B37}">
  <sheetPr>
    <tabColor rgb="FFFFFF00"/>
    <pageSetUpPr fitToPage="1"/>
  </sheetPr>
  <dimension ref="A1:S48"/>
  <sheetViews>
    <sheetView showGridLines="0" tabSelected="1" view="pageBreakPreview" topLeftCell="A29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26-04-28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김동훈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461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04월 28일 23시 25분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2호 IDF PROBE 앞.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IDF 펌프 및 라인 청소 중 조도 문제로 바닥 구조물에 부딪치고 넘어질 뻔 함.
원인: 작업중 부주의하여 부딪침.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충돌</v>
      </c>
      <c r="K17" s="15"/>
      <c r="L17" s="15" t="str">
        <f>_xlfn.XLOOKUP(B7,near_miss_excel_view!$C:$C,near_miss_excel_view!I:I,"없음",0,1)</f>
        <v>조명/환경</v>
      </c>
      <c r="M17" s="15"/>
      <c r="N17" s="15" t="str">
        <f>_xlfn.XLOOKUP(B7,near_miss_excel_view!$C:$C,near_miss_excel_view!J:J,"없음",0,1)</f>
        <v>기타: 부주의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1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1</v>
      </c>
      <c r="R22" s="15" t="s">
        <v>396</v>
      </c>
      <c r="S22" s="15" t="b">
        <f>IF($R$17=R22,TRUE,FALSE)</f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작업 중 부주의가 원인으로 구조물이 있는 동선에서 작업 하지 않도록 함.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400050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28</xdr:row>
                    <xdr:rowOff>142875</xdr:rowOff>
                  </from>
                  <to>
                    <xdr:col>4</xdr:col>
                    <xdr:colOff>400050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29</xdr:row>
                    <xdr:rowOff>104775</xdr:rowOff>
                  </from>
                  <to>
                    <xdr:col>4</xdr:col>
                    <xdr:colOff>400050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30</xdr:row>
                    <xdr:rowOff>76200</xdr:rowOff>
                  </from>
                  <to>
                    <xdr:col>4</xdr:col>
                    <xdr:colOff>400050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31</xdr:row>
                    <xdr:rowOff>47625</xdr:rowOff>
                  </from>
                  <to>
                    <xdr:col>4</xdr:col>
                    <xdr:colOff>400050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9525</xdr:rowOff>
                  </from>
                  <to>
                    <xdr:col>4</xdr:col>
                    <xdr:colOff>400050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27</xdr:row>
                    <xdr:rowOff>171450</xdr:rowOff>
                  </from>
                  <to>
                    <xdr:col>4</xdr:col>
                    <xdr:colOff>400050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32</xdr:row>
                    <xdr:rowOff>180975</xdr:rowOff>
                  </from>
                  <to>
                    <xdr:col>4</xdr:col>
                    <xdr:colOff>400050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28</xdr:row>
                    <xdr:rowOff>85725</xdr:rowOff>
                  </from>
                  <to>
                    <xdr:col>7</xdr:col>
                    <xdr:colOff>342900</xdr:colOff>
                    <xdr:row>29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29</xdr:row>
                    <xdr:rowOff>57150</xdr:rowOff>
                  </from>
                  <to>
                    <xdr:col>7</xdr:col>
                    <xdr:colOff>733425</xdr:colOff>
                    <xdr:row>30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29</xdr:row>
                    <xdr:rowOff>66675</xdr:rowOff>
                  </from>
                  <to>
                    <xdr:col>9</xdr:col>
                    <xdr:colOff>28575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30</xdr:row>
                    <xdr:rowOff>47625</xdr:rowOff>
                  </from>
                  <to>
                    <xdr:col>9</xdr:col>
                    <xdr:colOff>28575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31</xdr:row>
                    <xdr:rowOff>19050</xdr:rowOff>
                  </from>
                  <to>
                    <xdr:col>8</xdr:col>
                    <xdr:colOff>790575</xdr:colOff>
                    <xdr:row>31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 sizeWithCells="1">
                  <from>
                    <xdr:col>8</xdr:col>
                    <xdr:colOff>66675</xdr:colOff>
                    <xdr:row>32</xdr:row>
                    <xdr:rowOff>28575</xdr:rowOff>
                  </from>
                  <to>
                    <xdr:col>9</xdr:col>
                    <xdr:colOff>28575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23</xdr:row>
                    <xdr:rowOff>57150</xdr:rowOff>
                  </from>
                  <to>
                    <xdr:col>7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9525</xdr:rowOff>
                  </from>
                  <to>
                    <xdr:col>7</xdr:col>
                    <xdr:colOff>219075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18</xdr:row>
                    <xdr:rowOff>47625</xdr:rowOff>
                  </from>
                  <to>
                    <xdr:col>7</xdr:col>
                    <xdr:colOff>762000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</xdr:rowOff>
                  </from>
                  <to>
                    <xdr:col>7</xdr:col>
                    <xdr:colOff>762000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19</xdr:row>
                    <xdr:rowOff>190500</xdr:rowOff>
                  </from>
                  <to>
                    <xdr:col>7</xdr:col>
                    <xdr:colOff>762000</xdr:colOff>
                    <xdr:row>20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20</xdr:row>
                    <xdr:rowOff>161925</xdr:rowOff>
                  </from>
                  <to>
                    <xdr:col>7</xdr:col>
                    <xdr:colOff>762000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21</xdr:row>
                    <xdr:rowOff>104775</xdr:rowOff>
                  </from>
                  <to>
                    <xdr:col>7</xdr:col>
                    <xdr:colOff>609600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22</xdr:row>
                    <xdr:rowOff>104775</xdr:rowOff>
                  </from>
                  <to>
                    <xdr:col>7</xdr:col>
                    <xdr:colOff>609600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 sizeWithCells="1">
                  <from>
                    <xdr:col>5</xdr:col>
                    <xdr:colOff>581025</xdr:colOff>
                    <xdr:row>24</xdr:row>
                    <xdr:rowOff>171450</xdr:rowOff>
                  </from>
                  <to>
                    <xdr:col>7</xdr:col>
                    <xdr:colOff>276225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19050</xdr:rowOff>
                  </from>
                  <to>
                    <xdr:col>7</xdr:col>
                    <xdr:colOff>342900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5" r:id="rId28" name="Check Box 25">
              <controlPr defaultSize="0" autoFill="0" autoLine="0" autoPict="0">
                <anchor moveWithCells="1" sizeWithCells="1">
                  <from>
                    <xdr:col>5</xdr:col>
                    <xdr:colOff>266700</xdr:colOff>
                    <xdr:row>31</xdr:row>
                    <xdr:rowOff>200025</xdr:rowOff>
                  </from>
                  <to>
                    <xdr:col>7</xdr:col>
                    <xdr:colOff>733425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6" r:id="rId29" name="Check Box 26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23</xdr:row>
                    <xdr:rowOff>57150</xdr:rowOff>
                  </from>
                  <to>
                    <xdr:col>4</xdr:col>
                    <xdr:colOff>342900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7" r:id="rId30" name="Check Box 27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24</xdr:row>
                    <xdr:rowOff>28575</xdr:rowOff>
                  </from>
                  <to>
                    <xdr:col>4</xdr:col>
                    <xdr:colOff>161925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8" r:id="rId31" name="Check Box 28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18</xdr:row>
                    <xdr:rowOff>47625</xdr:rowOff>
                  </from>
                  <to>
                    <xdr:col>5</xdr:col>
                    <xdr:colOff>47625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9" r:id="rId32" name="Check Box 29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5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0" r:id="rId33" name="Check Box 30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19</xdr:row>
                    <xdr:rowOff>190500</xdr:rowOff>
                  </from>
                  <to>
                    <xdr:col>5</xdr:col>
                    <xdr:colOff>47625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1" r:id="rId34" name="Check Box 31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20</xdr:row>
                    <xdr:rowOff>161925</xdr:rowOff>
                  </from>
                  <to>
                    <xdr:col>5</xdr:col>
                    <xdr:colOff>47625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2" r:id="rId35" name="Check Box 3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21</xdr:row>
                    <xdr:rowOff>133350</xdr:rowOff>
                  </from>
                  <to>
                    <xdr:col>4</xdr:col>
                    <xdr:colOff>523875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3" r:id="rId36" name="Check Box 33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104775</xdr:rowOff>
                  </from>
                  <to>
                    <xdr:col>4</xdr:col>
                    <xdr:colOff>514350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4" r:id="rId37" name="Check Box 34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219075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5" r:id="rId38" name="Check Box 35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28</xdr:row>
                    <xdr:rowOff>180975</xdr:rowOff>
                  </from>
                  <to>
                    <xdr:col>1</xdr:col>
                    <xdr:colOff>685800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6" r:id="rId39" name="Check Box 36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29</xdr:row>
                    <xdr:rowOff>180975</xdr:rowOff>
                  </from>
                  <to>
                    <xdr:col>1</xdr:col>
                    <xdr:colOff>542925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7" r:id="rId40" name="Check Box 37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22</xdr:row>
                    <xdr:rowOff>114300</xdr:rowOff>
                  </from>
                  <to>
                    <xdr:col>2</xdr:col>
                    <xdr:colOff>95250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8" r:id="rId41" name="Check Box 38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23</xdr:row>
                    <xdr:rowOff>123825</xdr:rowOff>
                  </from>
                  <to>
                    <xdr:col>2</xdr:col>
                    <xdr:colOff>95250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9" r:id="rId42" name="Check Box 39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24</xdr:row>
                    <xdr:rowOff>123825</xdr:rowOff>
                  </from>
                  <to>
                    <xdr:col>2</xdr:col>
                    <xdr:colOff>95250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0" r:id="rId43" name="Check Box 40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25</xdr:row>
                    <xdr:rowOff>133350</xdr:rowOff>
                  </from>
                  <to>
                    <xdr:col>2</xdr:col>
                    <xdr:colOff>95250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1" r:id="rId44" name="Check Box 41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26</xdr:row>
                    <xdr:rowOff>142875</xdr:rowOff>
                  </from>
                  <to>
                    <xdr:col>1</xdr:col>
                    <xdr:colOff>828675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2" r:id="rId45" name="Check Box 42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27</xdr:row>
                    <xdr:rowOff>152400</xdr:rowOff>
                  </from>
                  <to>
                    <xdr:col>1</xdr:col>
                    <xdr:colOff>828675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3" r:id="rId46" name="Check Box 43">
              <controlPr defaultSize="0" autoFill="0" autoLine="0" autoPict="0">
                <anchor moveWithCells="1" sizeWithCells="1">
                  <from>
                    <xdr:col>0</xdr:col>
                    <xdr:colOff>1495425</xdr:colOff>
                    <xdr:row>30</xdr:row>
                    <xdr:rowOff>180975</xdr:rowOff>
                  </from>
                  <to>
                    <xdr:col>1</xdr:col>
                    <xdr:colOff>581025</xdr:colOff>
                    <xdr:row>31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4" r:id="rId47" name="Check Box 44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28</xdr:row>
                    <xdr:rowOff>180975</xdr:rowOff>
                  </from>
                  <to>
                    <xdr:col>0</xdr:col>
                    <xdr:colOff>1200150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5" r:id="rId48" name="Check Box 45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29</xdr:row>
                    <xdr:rowOff>180975</xdr:rowOff>
                  </from>
                  <to>
                    <xdr:col>0</xdr:col>
                    <xdr:colOff>1095375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6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590550</xdr:colOff>
                    <xdr:row>22</xdr:row>
                    <xdr:rowOff>114300</xdr:rowOff>
                  </from>
                  <to>
                    <xdr:col>0</xdr:col>
                    <xdr:colOff>1390650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7" r:id="rId50" name="Check Box 47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23</xdr:row>
                    <xdr:rowOff>123825</xdr:rowOff>
                  </from>
                  <to>
                    <xdr:col>0</xdr:col>
                    <xdr:colOff>1390650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8" r:id="rId51" name="Check Box 48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24</xdr:row>
                    <xdr:rowOff>123825</xdr:rowOff>
                  </from>
                  <to>
                    <xdr:col>0</xdr:col>
                    <xdr:colOff>1390650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9" r:id="rId52" name="Check Box 49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25</xdr:row>
                    <xdr:rowOff>133350</xdr:rowOff>
                  </from>
                  <to>
                    <xdr:col>0</xdr:col>
                    <xdr:colOff>1390650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0" r:id="rId53" name="Check Box 50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26</xdr:row>
                    <xdr:rowOff>142875</xdr:rowOff>
                  </from>
                  <to>
                    <xdr:col>0</xdr:col>
                    <xdr:colOff>1304925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1" r:id="rId54" name="Check Box 51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27</xdr:row>
                    <xdr:rowOff>152400</xdr:rowOff>
                  </from>
                  <to>
                    <xdr:col>0</xdr:col>
                    <xdr:colOff>1304925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2" r:id="rId55" name="Check Box 52">
              <controlPr defaultSize="0" autoFill="0" autoLine="0" autoPict="0">
                <anchor moveWithCells="1" sizeWithCells="1">
                  <from>
                    <xdr:col>0</xdr:col>
                    <xdr:colOff>590550</xdr:colOff>
                    <xdr:row>30</xdr:row>
                    <xdr:rowOff>180975</xdr:rowOff>
                  </from>
                  <to>
                    <xdr:col>0</xdr:col>
                    <xdr:colOff>1123950</xdr:colOff>
                    <xdr:row>31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CFB0ED-1430-48F8-8C0E-0216E35CFFE4}">
          <x14:formula1>
            <xm:f>near_miss_excel_view!$C:$C</xm:f>
          </x14:formula1>
          <xm:sqref>B7:I7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64F5-8A3E-4A74-A75A-598450324BA2}">
  <sheetPr>
    <tabColor rgb="FFFFFF00"/>
    <pageSetUpPr fitToPage="1"/>
  </sheetPr>
  <dimension ref="A1:S48"/>
  <sheetViews>
    <sheetView showGridLines="0" view="pageBreakPreview" topLeftCell="A13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26-05-01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장진혁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468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01일 20시 10분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2k kiln inlet 가스실 내부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2k kiln inlet 가스실 내부에서 이젝터에 원터치 너트를 체결하기 위해 스패너를 사용하던 중 손에서 스패너가 이탈하여 작업자의 입술에 부딪침
원인: 불안전한 상태_x000D_
도구 및 장비_x000D_
_x000D_
불안전한 행동_x000D_
도구의 잘못 사용_x000D_
_x000D_
부주의한 행동_x000D_
위험을 생각하지 않음_x000D_
_x000D_
부주의한 상태_x000D_
자만심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절단/찰과상</v>
      </c>
      <c r="K17" s="15"/>
      <c r="L17" s="15" t="str">
        <f>_xlfn.XLOOKUP(B7,near_miss_excel_view!$C:$C,near_miss_excel_view!I:I,"없음",0,1)</f>
        <v>도구 및 장비</v>
      </c>
      <c r="M17" s="15"/>
      <c r="N17" s="15" t="str">
        <f>_xlfn.XLOOKUP(B7,near_miss_excel_view!$C:$C,near_miss_excel_view!J:J,"없음",0,1)</f>
        <v>도구의 잘못 사용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자만심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0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1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1</v>
      </c>
      <c r="R22" s="15" t="s">
        <v>396</v>
      </c>
      <c r="S22" s="15" t="b">
        <f>IF($R$17=R22,TRUE,FALSE)</f>
        <v>1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f t="shared" si="2"/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1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작업 시 너트 크기와 맞는 스패너(공구)를 사용, 공구 사용 시 손에 꼭 쥐고 사용하도록 숙지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424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0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1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2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3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4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5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6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7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8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9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0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1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2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3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4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5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6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7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8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9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0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1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2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3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4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5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6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470A73-4948-4BCF-BCBE-E9BBA22878BC}">
          <x14:formula1>
            <xm:f>near_miss_excel_view!$C:$C</xm:f>
          </x14:formula1>
          <xm:sqref>B7:I7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76F6-D2A8-459C-89EF-AACED52FF457}">
  <sheetPr>
    <tabColor rgb="FFFFFF00"/>
    <pageSetUpPr fitToPage="1"/>
  </sheetPr>
  <dimension ref="A1:S48"/>
  <sheetViews>
    <sheetView showGridLines="0" view="pageBreakPreview" topLeftCell="A6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26-05-03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정재호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473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03일 22시 47분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4K IDF실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IDF 필터 청소 중 분진 흡입 및 안구에 들어감
원인: 필터에 먼지가 많이 껴있었는데 바람이 불면서 그대로 흡임 및 안구에 들어감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유해물질 접촉</v>
      </c>
      <c r="K17" s="15"/>
      <c r="L17" s="15" t="str">
        <f>_xlfn.XLOOKUP(B7,near_miss_excel_view!$C:$C,near_miss_excel_view!I:I,"없음",0,1)</f>
        <v>조명/환경</v>
      </c>
      <c r="M17" s="15"/>
      <c r="N17" s="15" t="str">
        <f>_xlfn.XLOOKUP(B7,near_miss_excel_view!$C:$C,near_miss_excel_view!J:J,"없음",0,1)</f>
        <v>보호구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기타: 평소에 없었던 일이라 생각도 안하고 있었음.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0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1</v>
      </c>
      <c r="P22" s="15" t="s">
        <v>234</v>
      </c>
      <c r="Q22" s="15" t="b">
        <f>IF($P$17=P22,TRUE,FALSE)</f>
        <v>1</v>
      </c>
      <c r="R22" s="15" t="s">
        <v>396</v>
      </c>
      <c r="S22" s="15" t="b">
        <v>1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1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필터 청소시 방진마스크 착용, 틈새 유무 상호 확인 및 보안경 착용 철저 후 작업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505</v>
      </c>
      <c r="M36" s="15" t="b">
        <f t="shared" si="2"/>
        <v>1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3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4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5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6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7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8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9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0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1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2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3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4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5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6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7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8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9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0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1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2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3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4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5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6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7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8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9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0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1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2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3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4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5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6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7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8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9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0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DB2F4A-1656-4C71-8E00-0842FFE8EA61}">
          <x14:formula1>
            <xm:f>near_miss_excel_view!$C:$C</xm:f>
          </x14:formula1>
          <xm:sqref>B7:I7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C1FB-7568-4E5E-BC18-ABCF9F90CEF2}">
  <sheetPr>
    <tabColor rgb="FFFFFF00"/>
    <pageSetUpPr fitToPage="1"/>
  </sheetPr>
  <dimension ref="A1:S48"/>
  <sheetViews>
    <sheetView showGridLines="0" view="pageBreakPreview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26-05-06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이윤성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479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06일 18시 36분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3K Probe 앞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3호 Probe 스프레이관 청소 중 시멘트 가루 떨어져서 땀이 차있던 곳인 작업복 및 안면에 가루 묻어서 따가움을 느낌
원인: 바닥 및 층 위에 잔여 시멘트가루가 진동 및 타격 시 떨어짐으로써 가루가 묻음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기타: 분진 흡입</v>
      </c>
      <c r="K17" s="15"/>
      <c r="L17" s="15" t="str">
        <f>_xlfn.XLOOKUP(B7,near_miss_excel_view!$C:$C,near_miss_excel_view!I:I,"없음",0,1)</f>
        <v>조명/환경</v>
      </c>
      <c r="M17" s="15"/>
      <c r="N17" s="15" t="str">
        <f>_xlfn.XLOOKUP(B7,near_miss_excel_view!$C:$C,near_miss_excel_view!J:J,"없음",0,1)</f>
        <v>평소 습관</v>
      </c>
      <c r="O17" s="15"/>
      <c r="P17" s="15" t="str">
        <f>_xlfn.XLOOKUP(B7,near_miss_excel_view!$C:$C,near_miss_excel_view!K:K,"없음",0,1)</f>
        <v>몸의 균형이 불안정해짐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1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1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바닥 및 시멘트 가루 정리 정돈 후 작업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505</v>
      </c>
      <c r="M36" s="15" t="b">
        <f t="shared" si="2"/>
        <v>1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EC1F80-2CE3-422C-858A-34D124EF8B75}">
          <x14:formula1>
            <xm:f>near_miss_excel_view!$C:$C</xm:f>
          </x14:formula1>
          <xm:sqref>B7:I7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8682-7B7F-49AF-9B0E-3E6DBF1C895D}">
  <sheetPr>
    <tabColor rgb="FFFFFF00"/>
    <pageSetUpPr fitToPage="1"/>
  </sheetPr>
  <dimension ref="A1:S48"/>
  <sheetViews>
    <sheetView showGridLines="0" view="pageBreakPreview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26-05-07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김도담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493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07일 10시 20분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출입구 자재창고 주변 삼거리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출입구를 지나 진행하다 자재창고 근처 삼거리에서 주변 사물 인식을 못해 사고날뻔함
원인: 차안 자재가 떨어져 줍다가 인식을 못함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차량사고</v>
      </c>
      <c r="K17" s="15"/>
      <c r="L17" s="15" t="str">
        <f>_xlfn.XLOOKUP(B7,near_miss_excel_view!$C:$C,near_miss_excel_view!I:I,"없음",0,1)</f>
        <v>운전장비</v>
      </c>
      <c r="M17" s="15"/>
      <c r="N17" s="15" t="str">
        <f>_xlfn.XLOOKUP(B7,near_miss_excel_view!$C:$C,near_miss_excel_view!J:J,"없음",0,1)</f>
        <v>불안전한 자세</v>
      </c>
      <c r="O17" s="15"/>
      <c r="P17" s="15" t="str">
        <f>_xlfn.XLOOKUP(B7,near_miss_excel_view!$C:$C,near_miss_excel_view!K:K,"없음",0,1)</f>
        <v>위험을 생각하지 않음</v>
      </c>
      <c r="Q17" s="15"/>
      <c r="R17" s="15" t="str">
        <f>_xlfn.XLOOKUP(B7,near_miss_excel_view!$C:$C,near_miss_excel_view!L:L,"없음",0,1)</f>
        <v>서두름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f>IF($R$17=R19,TRUE,FALSE)</f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1</v>
      </c>
      <c r="R22" s="15" t="s">
        <v>396</v>
      </c>
      <c r="S22" s="15" t="b"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1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1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 t="shared" si="1"/>
        <v>0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차량 운행시 운전에만 오로지 집중하였습니다주변 사물을 잘 살피며 출발전 공기구 점검 또한 확실히 준비 해놓고 출발하였습니다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1</v>
      </c>
      <c r="L36" s="15" t="s">
        <v>505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2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3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4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5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6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7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8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9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0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1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2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3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4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5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6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7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8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9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0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1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2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3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4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5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6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7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8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9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0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1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2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3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4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5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6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7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8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9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0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1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2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3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4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5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6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7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8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73C335-EB49-45C4-B2BD-D76D32637FF4}">
          <x14:formula1>
            <xm:f>near_miss_excel_view!$C:$C</xm:f>
          </x14:formula1>
          <xm:sqref>B7:I7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9672-72DD-4BDA-A444-2327F1DCDFFC}">
  <sheetPr>
    <tabColor rgb="FFFFFF00"/>
    <pageSetUpPr fitToPage="1"/>
  </sheetPr>
  <dimension ref="A1:S48"/>
  <sheetViews>
    <sheetView showGridLines="0" view="pageBreakPreview" topLeftCell="A3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26-05-08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이정민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485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08일 09시 30분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BC2 벨트 풀코드위치 4-1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전선관 설치 작업 중 천장에 앙카드릴 사용하여 앙카를 박아야했음. 앙카드릴 사용하여 천장을 뚫으니 낙석 다수 발생.
원인: 돌에 크랙이 약간 가있었음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붕괴</v>
      </c>
      <c r="K17" s="15"/>
      <c r="L17" s="15" t="str">
        <f>_xlfn.XLOOKUP(B7,near_miss_excel_view!$C:$C,near_miss_excel_view!I:I,"없음",0,1)</f>
        <v>낙석</v>
      </c>
      <c r="M17" s="15"/>
      <c r="N17" s="15" t="str">
        <f>_xlfn.XLOOKUP(B7,near_miss_excel_view!$C:$C,near_miss_excel_view!J:J,"없음",0,1)</f>
        <v>기타: 낙석 1회 벌생 후 다시 진행하니 2차발생</v>
      </c>
      <c r="O17" s="15"/>
      <c r="P17" s="15" t="str">
        <f>_xlfn.XLOOKUP(B7,near_miss_excel_view!$C:$C,near_miss_excel_view!K:K,"없음",0,1)</f>
        <v>위험을 보지 않음</v>
      </c>
      <c r="Q17" s="15"/>
      <c r="R17" s="15" t="str">
        <f>_xlfn.XLOOKUP(B7,near_miss_excel_view!$C:$C,near_miss_excel_view!L:L,"없음",0,1)</f>
        <v>기타: 낙석이 발생하여 불안했음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0</v>
      </c>
      <c r="R19" s="15" t="s">
        <v>36</v>
      </c>
      <c r="S19" s="15" t="b"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0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1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0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1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v>1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1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지름5cm정도의 낙석이 2회나 발생하여 천장을 확인해보니 지름 30cm정도의 돌들이 크랙이 나있는걸 확인함. 그 후 망치로 금이 가있는 부분을 모두 제거 후 작업 진행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505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5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6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7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8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9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0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1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2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3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4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5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6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7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8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9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0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1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2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3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4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5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6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7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8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9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0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1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2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3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4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5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6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7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8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9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0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1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2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3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4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5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6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7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8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9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0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1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2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E86E67-0285-4BC5-AF85-3A57851B80CA}">
          <x14:formula1>
            <xm:f>near_miss_excel_view!$C:$C</xm:f>
          </x14:formula1>
          <xm:sqref>B7:I7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1515-42FD-46C3-B9C6-E838F1F4EE5B}">
  <sheetPr>
    <tabColor rgb="FFFFFF00"/>
    <pageSetUpPr fitToPage="1"/>
  </sheetPr>
  <dimension ref="A1:S48"/>
  <sheetViews>
    <sheetView showGridLines="0" view="pageBreakPreview" topLeftCell="A26" zoomScale="115" zoomScaleNormal="100" zoomScaleSheetLayoutView="115" workbookViewId="0">
      <selection activeCell="B7" sqref="B7:I7"/>
    </sheetView>
  </sheetViews>
  <sheetFormatPr defaultColWidth="9" defaultRowHeight="17.25"/>
  <cols>
    <col min="1" max="1" width="21.375" style="5" customWidth="1"/>
    <col min="2" max="2" width="11.125" style="5" customWidth="1"/>
    <col min="3" max="3" width="8.625" style="5" customWidth="1"/>
    <col min="4" max="4" width="9" style="5"/>
    <col min="5" max="6" width="8" style="5" customWidth="1"/>
    <col min="7" max="7" width="8.875" style="5" bestFit="1" customWidth="1"/>
    <col min="8" max="8" width="11.25" style="5" customWidth="1"/>
    <col min="9" max="9" width="10.75" style="5" customWidth="1"/>
    <col min="10" max="10" width="10.625" style="6" customWidth="1"/>
    <col min="11" max="11" width="5.25" style="6" customWidth="1"/>
    <col min="12" max="12" width="10.625" style="6" customWidth="1"/>
    <col min="13" max="13" width="5.25" style="6" customWidth="1"/>
    <col min="14" max="14" width="10.625" style="6" customWidth="1"/>
    <col min="15" max="15" width="5.25" style="6" customWidth="1"/>
    <col min="16" max="16" width="15.375" style="6" customWidth="1"/>
    <col min="17" max="17" width="5.25" style="6" customWidth="1"/>
    <col min="18" max="18" width="9" style="6"/>
    <col min="19" max="19" width="5.75" style="6" customWidth="1"/>
    <col min="20" max="256" width="9" style="5"/>
    <col min="257" max="257" width="21.375" style="5" customWidth="1"/>
    <col min="258" max="258" width="11.125" style="5" customWidth="1"/>
    <col min="259" max="259" width="10.75" style="5" customWidth="1"/>
    <col min="260" max="260" width="9" style="5"/>
    <col min="261" max="262" width="8" style="5" customWidth="1"/>
    <col min="263" max="263" width="8.875" style="5" bestFit="1" customWidth="1"/>
    <col min="264" max="265" width="11.25" style="5" customWidth="1"/>
    <col min="266" max="512" width="9" style="5"/>
    <col min="513" max="513" width="21.375" style="5" customWidth="1"/>
    <col min="514" max="514" width="11.125" style="5" customWidth="1"/>
    <col min="515" max="515" width="10.75" style="5" customWidth="1"/>
    <col min="516" max="516" width="9" style="5"/>
    <col min="517" max="518" width="8" style="5" customWidth="1"/>
    <col min="519" max="519" width="8.875" style="5" bestFit="1" customWidth="1"/>
    <col min="520" max="521" width="11.25" style="5" customWidth="1"/>
    <col min="522" max="768" width="9" style="5"/>
    <col min="769" max="769" width="21.375" style="5" customWidth="1"/>
    <col min="770" max="770" width="11.125" style="5" customWidth="1"/>
    <col min="771" max="771" width="10.75" style="5" customWidth="1"/>
    <col min="772" max="772" width="9" style="5"/>
    <col min="773" max="774" width="8" style="5" customWidth="1"/>
    <col min="775" max="775" width="8.875" style="5" bestFit="1" customWidth="1"/>
    <col min="776" max="777" width="11.25" style="5" customWidth="1"/>
    <col min="778" max="1024" width="9" style="5"/>
    <col min="1025" max="1025" width="21.375" style="5" customWidth="1"/>
    <col min="1026" max="1026" width="11.125" style="5" customWidth="1"/>
    <col min="1027" max="1027" width="10.75" style="5" customWidth="1"/>
    <col min="1028" max="1028" width="9" style="5"/>
    <col min="1029" max="1030" width="8" style="5" customWidth="1"/>
    <col min="1031" max="1031" width="8.875" style="5" bestFit="1" customWidth="1"/>
    <col min="1032" max="1033" width="11.25" style="5" customWidth="1"/>
    <col min="1034" max="1280" width="9" style="5"/>
    <col min="1281" max="1281" width="21.375" style="5" customWidth="1"/>
    <col min="1282" max="1282" width="11.125" style="5" customWidth="1"/>
    <col min="1283" max="1283" width="10.75" style="5" customWidth="1"/>
    <col min="1284" max="1284" width="9" style="5"/>
    <col min="1285" max="1286" width="8" style="5" customWidth="1"/>
    <col min="1287" max="1287" width="8.875" style="5" bestFit="1" customWidth="1"/>
    <col min="1288" max="1289" width="11.25" style="5" customWidth="1"/>
    <col min="1290" max="1536" width="9" style="5"/>
    <col min="1537" max="1537" width="21.375" style="5" customWidth="1"/>
    <col min="1538" max="1538" width="11.125" style="5" customWidth="1"/>
    <col min="1539" max="1539" width="10.75" style="5" customWidth="1"/>
    <col min="1540" max="1540" width="9" style="5"/>
    <col min="1541" max="1542" width="8" style="5" customWidth="1"/>
    <col min="1543" max="1543" width="8.875" style="5" bestFit="1" customWidth="1"/>
    <col min="1544" max="1545" width="11.25" style="5" customWidth="1"/>
    <col min="1546" max="1792" width="9" style="5"/>
    <col min="1793" max="1793" width="21.375" style="5" customWidth="1"/>
    <col min="1794" max="1794" width="11.125" style="5" customWidth="1"/>
    <col min="1795" max="1795" width="10.75" style="5" customWidth="1"/>
    <col min="1796" max="1796" width="9" style="5"/>
    <col min="1797" max="1798" width="8" style="5" customWidth="1"/>
    <col min="1799" max="1799" width="8.875" style="5" bestFit="1" customWidth="1"/>
    <col min="1800" max="1801" width="11.25" style="5" customWidth="1"/>
    <col min="1802" max="2048" width="9" style="5"/>
    <col min="2049" max="2049" width="21.375" style="5" customWidth="1"/>
    <col min="2050" max="2050" width="11.125" style="5" customWidth="1"/>
    <col min="2051" max="2051" width="10.75" style="5" customWidth="1"/>
    <col min="2052" max="2052" width="9" style="5"/>
    <col min="2053" max="2054" width="8" style="5" customWidth="1"/>
    <col min="2055" max="2055" width="8.875" style="5" bestFit="1" customWidth="1"/>
    <col min="2056" max="2057" width="11.25" style="5" customWidth="1"/>
    <col min="2058" max="2304" width="9" style="5"/>
    <col min="2305" max="2305" width="21.375" style="5" customWidth="1"/>
    <col min="2306" max="2306" width="11.125" style="5" customWidth="1"/>
    <col min="2307" max="2307" width="10.75" style="5" customWidth="1"/>
    <col min="2308" max="2308" width="9" style="5"/>
    <col min="2309" max="2310" width="8" style="5" customWidth="1"/>
    <col min="2311" max="2311" width="8.875" style="5" bestFit="1" customWidth="1"/>
    <col min="2312" max="2313" width="11.25" style="5" customWidth="1"/>
    <col min="2314" max="2560" width="9" style="5"/>
    <col min="2561" max="2561" width="21.375" style="5" customWidth="1"/>
    <col min="2562" max="2562" width="11.125" style="5" customWidth="1"/>
    <col min="2563" max="2563" width="10.75" style="5" customWidth="1"/>
    <col min="2564" max="2564" width="9" style="5"/>
    <col min="2565" max="2566" width="8" style="5" customWidth="1"/>
    <col min="2567" max="2567" width="8.875" style="5" bestFit="1" customWidth="1"/>
    <col min="2568" max="2569" width="11.25" style="5" customWidth="1"/>
    <col min="2570" max="2816" width="9" style="5"/>
    <col min="2817" max="2817" width="21.375" style="5" customWidth="1"/>
    <col min="2818" max="2818" width="11.125" style="5" customWidth="1"/>
    <col min="2819" max="2819" width="10.75" style="5" customWidth="1"/>
    <col min="2820" max="2820" width="9" style="5"/>
    <col min="2821" max="2822" width="8" style="5" customWidth="1"/>
    <col min="2823" max="2823" width="8.875" style="5" bestFit="1" customWidth="1"/>
    <col min="2824" max="2825" width="11.25" style="5" customWidth="1"/>
    <col min="2826" max="3072" width="9" style="5"/>
    <col min="3073" max="3073" width="21.375" style="5" customWidth="1"/>
    <col min="3074" max="3074" width="11.125" style="5" customWidth="1"/>
    <col min="3075" max="3075" width="10.75" style="5" customWidth="1"/>
    <col min="3076" max="3076" width="9" style="5"/>
    <col min="3077" max="3078" width="8" style="5" customWidth="1"/>
    <col min="3079" max="3079" width="8.875" style="5" bestFit="1" customWidth="1"/>
    <col min="3080" max="3081" width="11.25" style="5" customWidth="1"/>
    <col min="3082" max="3328" width="9" style="5"/>
    <col min="3329" max="3329" width="21.375" style="5" customWidth="1"/>
    <col min="3330" max="3330" width="11.125" style="5" customWidth="1"/>
    <col min="3331" max="3331" width="10.75" style="5" customWidth="1"/>
    <col min="3332" max="3332" width="9" style="5"/>
    <col min="3333" max="3334" width="8" style="5" customWidth="1"/>
    <col min="3335" max="3335" width="8.875" style="5" bestFit="1" customWidth="1"/>
    <col min="3336" max="3337" width="11.25" style="5" customWidth="1"/>
    <col min="3338" max="3584" width="9" style="5"/>
    <col min="3585" max="3585" width="21.375" style="5" customWidth="1"/>
    <col min="3586" max="3586" width="11.125" style="5" customWidth="1"/>
    <col min="3587" max="3587" width="10.75" style="5" customWidth="1"/>
    <col min="3588" max="3588" width="9" style="5"/>
    <col min="3589" max="3590" width="8" style="5" customWidth="1"/>
    <col min="3591" max="3591" width="8.875" style="5" bestFit="1" customWidth="1"/>
    <col min="3592" max="3593" width="11.25" style="5" customWidth="1"/>
    <col min="3594" max="3840" width="9" style="5"/>
    <col min="3841" max="3841" width="21.375" style="5" customWidth="1"/>
    <col min="3842" max="3842" width="11.125" style="5" customWidth="1"/>
    <col min="3843" max="3843" width="10.75" style="5" customWidth="1"/>
    <col min="3844" max="3844" width="9" style="5"/>
    <col min="3845" max="3846" width="8" style="5" customWidth="1"/>
    <col min="3847" max="3847" width="8.875" style="5" bestFit="1" customWidth="1"/>
    <col min="3848" max="3849" width="11.25" style="5" customWidth="1"/>
    <col min="3850" max="4096" width="9" style="5"/>
    <col min="4097" max="4097" width="21.375" style="5" customWidth="1"/>
    <col min="4098" max="4098" width="11.125" style="5" customWidth="1"/>
    <col min="4099" max="4099" width="10.75" style="5" customWidth="1"/>
    <col min="4100" max="4100" width="9" style="5"/>
    <col min="4101" max="4102" width="8" style="5" customWidth="1"/>
    <col min="4103" max="4103" width="8.875" style="5" bestFit="1" customWidth="1"/>
    <col min="4104" max="4105" width="11.25" style="5" customWidth="1"/>
    <col min="4106" max="4352" width="9" style="5"/>
    <col min="4353" max="4353" width="21.375" style="5" customWidth="1"/>
    <col min="4354" max="4354" width="11.125" style="5" customWidth="1"/>
    <col min="4355" max="4355" width="10.75" style="5" customWidth="1"/>
    <col min="4356" max="4356" width="9" style="5"/>
    <col min="4357" max="4358" width="8" style="5" customWidth="1"/>
    <col min="4359" max="4359" width="8.875" style="5" bestFit="1" customWidth="1"/>
    <col min="4360" max="4361" width="11.25" style="5" customWidth="1"/>
    <col min="4362" max="4608" width="9" style="5"/>
    <col min="4609" max="4609" width="21.375" style="5" customWidth="1"/>
    <col min="4610" max="4610" width="11.125" style="5" customWidth="1"/>
    <col min="4611" max="4611" width="10.75" style="5" customWidth="1"/>
    <col min="4612" max="4612" width="9" style="5"/>
    <col min="4613" max="4614" width="8" style="5" customWidth="1"/>
    <col min="4615" max="4615" width="8.875" style="5" bestFit="1" customWidth="1"/>
    <col min="4616" max="4617" width="11.25" style="5" customWidth="1"/>
    <col min="4618" max="4864" width="9" style="5"/>
    <col min="4865" max="4865" width="21.375" style="5" customWidth="1"/>
    <col min="4866" max="4866" width="11.125" style="5" customWidth="1"/>
    <col min="4867" max="4867" width="10.75" style="5" customWidth="1"/>
    <col min="4868" max="4868" width="9" style="5"/>
    <col min="4869" max="4870" width="8" style="5" customWidth="1"/>
    <col min="4871" max="4871" width="8.875" style="5" bestFit="1" customWidth="1"/>
    <col min="4872" max="4873" width="11.25" style="5" customWidth="1"/>
    <col min="4874" max="5120" width="9" style="5"/>
    <col min="5121" max="5121" width="21.375" style="5" customWidth="1"/>
    <col min="5122" max="5122" width="11.125" style="5" customWidth="1"/>
    <col min="5123" max="5123" width="10.75" style="5" customWidth="1"/>
    <col min="5124" max="5124" width="9" style="5"/>
    <col min="5125" max="5126" width="8" style="5" customWidth="1"/>
    <col min="5127" max="5127" width="8.875" style="5" bestFit="1" customWidth="1"/>
    <col min="5128" max="5129" width="11.25" style="5" customWidth="1"/>
    <col min="5130" max="5376" width="9" style="5"/>
    <col min="5377" max="5377" width="21.375" style="5" customWidth="1"/>
    <col min="5378" max="5378" width="11.125" style="5" customWidth="1"/>
    <col min="5379" max="5379" width="10.75" style="5" customWidth="1"/>
    <col min="5380" max="5380" width="9" style="5"/>
    <col min="5381" max="5382" width="8" style="5" customWidth="1"/>
    <col min="5383" max="5383" width="8.875" style="5" bestFit="1" customWidth="1"/>
    <col min="5384" max="5385" width="11.25" style="5" customWidth="1"/>
    <col min="5386" max="5632" width="9" style="5"/>
    <col min="5633" max="5633" width="21.375" style="5" customWidth="1"/>
    <col min="5634" max="5634" width="11.125" style="5" customWidth="1"/>
    <col min="5635" max="5635" width="10.75" style="5" customWidth="1"/>
    <col min="5636" max="5636" width="9" style="5"/>
    <col min="5637" max="5638" width="8" style="5" customWidth="1"/>
    <col min="5639" max="5639" width="8.875" style="5" bestFit="1" customWidth="1"/>
    <col min="5640" max="5641" width="11.25" style="5" customWidth="1"/>
    <col min="5642" max="5888" width="9" style="5"/>
    <col min="5889" max="5889" width="21.375" style="5" customWidth="1"/>
    <col min="5890" max="5890" width="11.125" style="5" customWidth="1"/>
    <col min="5891" max="5891" width="10.75" style="5" customWidth="1"/>
    <col min="5892" max="5892" width="9" style="5"/>
    <col min="5893" max="5894" width="8" style="5" customWidth="1"/>
    <col min="5895" max="5895" width="8.875" style="5" bestFit="1" customWidth="1"/>
    <col min="5896" max="5897" width="11.25" style="5" customWidth="1"/>
    <col min="5898" max="6144" width="9" style="5"/>
    <col min="6145" max="6145" width="21.375" style="5" customWidth="1"/>
    <col min="6146" max="6146" width="11.125" style="5" customWidth="1"/>
    <col min="6147" max="6147" width="10.75" style="5" customWidth="1"/>
    <col min="6148" max="6148" width="9" style="5"/>
    <col min="6149" max="6150" width="8" style="5" customWidth="1"/>
    <col min="6151" max="6151" width="8.875" style="5" bestFit="1" customWidth="1"/>
    <col min="6152" max="6153" width="11.25" style="5" customWidth="1"/>
    <col min="6154" max="6400" width="9" style="5"/>
    <col min="6401" max="6401" width="21.375" style="5" customWidth="1"/>
    <col min="6402" max="6402" width="11.125" style="5" customWidth="1"/>
    <col min="6403" max="6403" width="10.75" style="5" customWidth="1"/>
    <col min="6404" max="6404" width="9" style="5"/>
    <col min="6405" max="6406" width="8" style="5" customWidth="1"/>
    <col min="6407" max="6407" width="8.875" style="5" bestFit="1" customWidth="1"/>
    <col min="6408" max="6409" width="11.25" style="5" customWidth="1"/>
    <col min="6410" max="6656" width="9" style="5"/>
    <col min="6657" max="6657" width="21.375" style="5" customWidth="1"/>
    <col min="6658" max="6658" width="11.125" style="5" customWidth="1"/>
    <col min="6659" max="6659" width="10.75" style="5" customWidth="1"/>
    <col min="6660" max="6660" width="9" style="5"/>
    <col min="6661" max="6662" width="8" style="5" customWidth="1"/>
    <col min="6663" max="6663" width="8.875" style="5" bestFit="1" customWidth="1"/>
    <col min="6664" max="6665" width="11.25" style="5" customWidth="1"/>
    <col min="6666" max="6912" width="9" style="5"/>
    <col min="6913" max="6913" width="21.375" style="5" customWidth="1"/>
    <col min="6914" max="6914" width="11.125" style="5" customWidth="1"/>
    <col min="6915" max="6915" width="10.75" style="5" customWidth="1"/>
    <col min="6916" max="6916" width="9" style="5"/>
    <col min="6917" max="6918" width="8" style="5" customWidth="1"/>
    <col min="6919" max="6919" width="8.875" style="5" bestFit="1" customWidth="1"/>
    <col min="6920" max="6921" width="11.25" style="5" customWidth="1"/>
    <col min="6922" max="7168" width="9" style="5"/>
    <col min="7169" max="7169" width="21.375" style="5" customWidth="1"/>
    <col min="7170" max="7170" width="11.125" style="5" customWidth="1"/>
    <col min="7171" max="7171" width="10.75" style="5" customWidth="1"/>
    <col min="7172" max="7172" width="9" style="5"/>
    <col min="7173" max="7174" width="8" style="5" customWidth="1"/>
    <col min="7175" max="7175" width="8.875" style="5" bestFit="1" customWidth="1"/>
    <col min="7176" max="7177" width="11.25" style="5" customWidth="1"/>
    <col min="7178" max="7424" width="9" style="5"/>
    <col min="7425" max="7425" width="21.375" style="5" customWidth="1"/>
    <col min="7426" max="7426" width="11.125" style="5" customWidth="1"/>
    <col min="7427" max="7427" width="10.75" style="5" customWidth="1"/>
    <col min="7428" max="7428" width="9" style="5"/>
    <col min="7429" max="7430" width="8" style="5" customWidth="1"/>
    <col min="7431" max="7431" width="8.875" style="5" bestFit="1" customWidth="1"/>
    <col min="7432" max="7433" width="11.25" style="5" customWidth="1"/>
    <col min="7434" max="7680" width="9" style="5"/>
    <col min="7681" max="7681" width="21.375" style="5" customWidth="1"/>
    <col min="7682" max="7682" width="11.125" style="5" customWidth="1"/>
    <col min="7683" max="7683" width="10.75" style="5" customWidth="1"/>
    <col min="7684" max="7684" width="9" style="5"/>
    <col min="7685" max="7686" width="8" style="5" customWidth="1"/>
    <col min="7687" max="7687" width="8.875" style="5" bestFit="1" customWidth="1"/>
    <col min="7688" max="7689" width="11.25" style="5" customWidth="1"/>
    <col min="7690" max="7936" width="9" style="5"/>
    <col min="7937" max="7937" width="21.375" style="5" customWidth="1"/>
    <col min="7938" max="7938" width="11.125" style="5" customWidth="1"/>
    <col min="7939" max="7939" width="10.75" style="5" customWidth="1"/>
    <col min="7940" max="7940" width="9" style="5"/>
    <col min="7941" max="7942" width="8" style="5" customWidth="1"/>
    <col min="7943" max="7943" width="8.875" style="5" bestFit="1" customWidth="1"/>
    <col min="7944" max="7945" width="11.25" style="5" customWidth="1"/>
    <col min="7946" max="8192" width="9" style="5"/>
    <col min="8193" max="8193" width="21.375" style="5" customWidth="1"/>
    <col min="8194" max="8194" width="11.125" style="5" customWidth="1"/>
    <col min="8195" max="8195" width="10.75" style="5" customWidth="1"/>
    <col min="8196" max="8196" width="9" style="5"/>
    <col min="8197" max="8198" width="8" style="5" customWidth="1"/>
    <col min="8199" max="8199" width="8.875" style="5" bestFit="1" customWidth="1"/>
    <col min="8200" max="8201" width="11.25" style="5" customWidth="1"/>
    <col min="8202" max="8448" width="9" style="5"/>
    <col min="8449" max="8449" width="21.375" style="5" customWidth="1"/>
    <col min="8450" max="8450" width="11.125" style="5" customWidth="1"/>
    <col min="8451" max="8451" width="10.75" style="5" customWidth="1"/>
    <col min="8452" max="8452" width="9" style="5"/>
    <col min="8453" max="8454" width="8" style="5" customWidth="1"/>
    <col min="8455" max="8455" width="8.875" style="5" bestFit="1" customWidth="1"/>
    <col min="8456" max="8457" width="11.25" style="5" customWidth="1"/>
    <col min="8458" max="8704" width="9" style="5"/>
    <col min="8705" max="8705" width="21.375" style="5" customWidth="1"/>
    <col min="8706" max="8706" width="11.125" style="5" customWidth="1"/>
    <col min="8707" max="8707" width="10.75" style="5" customWidth="1"/>
    <col min="8708" max="8708" width="9" style="5"/>
    <col min="8709" max="8710" width="8" style="5" customWidth="1"/>
    <col min="8711" max="8711" width="8.875" style="5" bestFit="1" customWidth="1"/>
    <col min="8712" max="8713" width="11.25" style="5" customWidth="1"/>
    <col min="8714" max="8960" width="9" style="5"/>
    <col min="8961" max="8961" width="21.375" style="5" customWidth="1"/>
    <col min="8962" max="8962" width="11.125" style="5" customWidth="1"/>
    <col min="8963" max="8963" width="10.75" style="5" customWidth="1"/>
    <col min="8964" max="8964" width="9" style="5"/>
    <col min="8965" max="8966" width="8" style="5" customWidth="1"/>
    <col min="8967" max="8967" width="8.875" style="5" bestFit="1" customWidth="1"/>
    <col min="8968" max="8969" width="11.25" style="5" customWidth="1"/>
    <col min="8970" max="9216" width="9" style="5"/>
    <col min="9217" max="9217" width="21.375" style="5" customWidth="1"/>
    <col min="9218" max="9218" width="11.125" style="5" customWidth="1"/>
    <col min="9219" max="9219" width="10.75" style="5" customWidth="1"/>
    <col min="9220" max="9220" width="9" style="5"/>
    <col min="9221" max="9222" width="8" style="5" customWidth="1"/>
    <col min="9223" max="9223" width="8.875" style="5" bestFit="1" customWidth="1"/>
    <col min="9224" max="9225" width="11.25" style="5" customWidth="1"/>
    <col min="9226" max="9472" width="9" style="5"/>
    <col min="9473" max="9473" width="21.375" style="5" customWidth="1"/>
    <col min="9474" max="9474" width="11.125" style="5" customWidth="1"/>
    <col min="9475" max="9475" width="10.75" style="5" customWidth="1"/>
    <col min="9476" max="9476" width="9" style="5"/>
    <col min="9477" max="9478" width="8" style="5" customWidth="1"/>
    <col min="9479" max="9479" width="8.875" style="5" bestFit="1" customWidth="1"/>
    <col min="9480" max="9481" width="11.25" style="5" customWidth="1"/>
    <col min="9482" max="9728" width="9" style="5"/>
    <col min="9729" max="9729" width="21.375" style="5" customWidth="1"/>
    <col min="9730" max="9730" width="11.125" style="5" customWidth="1"/>
    <col min="9731" max="9731" width="10.75" style="5" customWidth="1"/>
    <col min="9732" max="9732" width="9" style="5"/>
    <col min="9733" max="9734" width="8" style="5" customWidth="1"/>
    <col min="9735" max="9735" width="8.875" style="5" bestFit="1" customWidth="1"/>
    <col min="9736" max="9737" width="11.25" style="5" customWidth="1"/>
    <col min="9738" max="9984" width="9" style="5"/>
    <col min="9985" max="9985" width="21.375" style="5" customWidth="1"/>
    <col min="9986" max="9986" width="11.125" style="5" customWidth="1"/>
    <col min="9987" max="9987" width="10.75" style="5" customWidth="1"/>
    <col min="9988" max="9988" width="9" style="5"/>
    <col min="9989" max="9990" width="8" style="5" customWidth="1"/>
    <col min="9991" max="9991" width="8.875" style="5" bestFit="1" customWidth="1"/>
    <col min="9992" max="9993" width="11.25" style="5" customWidth="1"/>
    <col min="9994" max="10240" width="9" style="5"/>
    <col min="10241" max="10241" width="21.375" style="5" customWidth="1"/>
    <col min="10242" max="10242" width="11.125" style="5" customWidth="1"/>
    <col min="10243" max="10243" width="10.75" style="5" customWidth="1"/>
    <col min="10244" max="10244" width="9" style="5"/>
    <col min="10245" max="10246" width="8" style="5" customWidth="1"/>
    <col min="10247" max="10247" width="8.875" style="5" bestFit="1" customWidth="1"/>
    <col min="10248" max="10249" width="11.25" style="5" customWidth="1"/>
    <col min="10250" max="10496" width="9" style="5"/>
    <col min="10497" max="10497" width="21.375" style="5" customWidth="1"/>
    <col min="10498" max="10498" width="11.125" style="5" customWidth="1"/>
    <col min="10499" max="10499" width="10.75" style="5" customWidth="1"/>
    <col min="10500" max="10500" width="9" style="5"/>
    <col min="10501" max="10502" width="8" style="5" customWidth="1"/>
    <col min="10503" max="10503" width="8.875" style="5" bestFit="1" customWidth="1"/>
    <col min="10504" max="10505" width="11.25" style="5" customWidth="1"/>
    <col min="10506" max="10752" width="9" style="5"/>
    <col min="10753" max="10753" width="21.375" style="5" customWidth="1"/>
    <col min="10754" max="10754" width="11.125" style="5" customWidth="1"/>
    <col min="10755" max="10755" width="10.75" style="5" customWidth="1"/>
    <col min="10756" max="10756" width="9" style="5"/>
    <col min="10757" max="10758" width="8" style="5" customWidth="1"/>
    <col min="10759" max="10759" width="8.875" style="5" bestFit="1" customWidth="1"/>
    <col min="10760" max="10761" width="11.25" style="5" customWidth="1"/>
    <col min="10762" max="11008" width="9" style="5"/>
    <col min="11009" max="11009" width="21.375" style="5" customWidth="1"/>
    <col min="11010" max="11010" width="11.125" style="5" customWidth="1"/>
    <col min="11011" max="11011" width="10.75" style="5" customWidth="1"/>
    <col min="11012" max="11012" width="9" style="5"/>
    <col min="11013" max="11014" width="8" style="5" customWidth="1"/>
    <col min="11015" max="11015" width="8.875" style="5" bestFit="1" customWidth="1"/>
    <col min="11016" max="11017" width="11.25" style="5" customWidth="1"/>
    <col min="11018" max="11264" width="9" style="5"/>
    <col min="11265" max="11265" width="21.375" style="5" customWidth="1"/>
    <col min="11266" max="11266" width="11.125" style="5" customWidth="1"/>
    <col min="11267" max="11267" width="10.75" style="5" customWidth="1"/>
    <col min="11268" max="11268" width="9" style="5"/>
    <col min="11269" max="11270" width="8" style="5" customWidth="1"/>
    <col min="11271" max="11271" width="8.875" style="5" bestFit="1" customWidth="1"/>
    <col min="11272" max="11273" width="11.25" style="5" customWidth="1"/>
    <col min="11274" max="11520" width="9" style="5"/>
    <col min="11521" max="11521" width="21.375" style="5" customWidth="1"/>
    <col min="11522" max="11522" width="11.125" style="5" customWidth="1"/>
    <col min="11523" max="11523" width="10.75" style="5" customWidth="1"/>
    <col min="11524" max="11524" width="9" style="5"/>
    <col min="11525" max="11526" width="8" style="5" customWidth="1"/>
    <col min="11527" max="11527" width="8.875" style="5" bestFit="1" customWidth="1"/>
    <col min="11528" max="11529" width="11.25" style="5" customWidth="1"/>
    <col min="11530" max="11776" width="9" style="5"/>
    <col min="11777" max="11777" width="21.375" style="5" customWidth="1"/>
    <col min="11778" max="11778" width="11.125" style="5" customWidth="1"/>
    <col min="11779" max="11779" width="10.75" style="5" customWidth="1"/>
    <col min="11780" max="11780" width="9" style="5"/>
    <col min="11781" max="11782" width="8" style="5" customWidth="1"/>
    <col min="11783" max="11783" width="8.875" style="5" bestFit="1" customWidth="1"/>
    <col min="11784" max="11785" width="11.25" style="5" customWidth="1"/>
    <col min="11786" max="12032" width="9" style="5"/>
    <col min="12033" max="12033" width="21.375" style="5" customWidth="1"/>
    <col min="12034" max="12034" width="11.125" style="5" customWidth="1"/>
    <col min="12035" max="12035" width="10.75" style="5" customWidth="1"/>
    <col min="12036" max="12036" width="9" style="5"/>
    <col min="12037" max="12038" width="8" style="5" customWidth="1"/>
    <col min="12039" max="12039" width="8.875" style="5" bestFit="1" customWidth="1"/>
    <col min="12040" max="12041" width="11.25" style="5" customWidth="1"/>
    <col min="12042" max="12288" width="9" style="5"/>
    <col min="12289" max="12289" width="21.375" style="5" customWidth="1"/>
    <col min="12290" max="12290" width="11.125" style="5" customWidth="1"/>
    <col min="12291" max="12291" width="10.75" style="5" customWidth="1"/>
    <col min="12292" max="12292" width="9" style="5"/>
    <col min="12293" max="12294" width="8" style="5" customWidth="1"/>
    <col min="12295" max="12295" width="8.875" style="5" bestFit="1" customWidth="1"/>
    <col min="12296" max="12297" width="11.25" style="5" customWidth="1"/>
    <col min="12298" max="12544" width="9" style="5"/>
    <col min="12545" max="12545" width="21.375" style="5" customWidth="1"/>
    <col min="12546" max="12546" width="11.125" style="5" customWidth="1"/>
    <col min="12547" max="12547" width="10.75" style="5" customWidth="1"/>
    <col min="12548" max="12548" width="9" style="5"/>
    <col min="12549" max="12550" width="8" style="5" customWidth="1"/>
    <col min="12551" max="12551" width="8.875" style="5" bestFit="1" customWidth="1"/>
    <col min="12552" max="12553" width="11.25" style="5" customWidth="1"/>
    <col min="12554" max="12800" width="9" style="5"/>
    <col min="12801" max="12801" width="21.375" style="5" customWidth="1"/>
    <col min="12802" max="12802" width="11.125" style="5" customWidth="1"/>
    <col min="12803" max="12803" width="10.75" style="5" customWidth="1"/>
    <col min="12804" max="12804" width="9" style="5"/>
    <col min="12805" max="12806" width="8" style="5" customWidth="1"/>
    <col min="12807" max="12807" width="8.875" style="5" bestFit="1" customWidth="1"/>
    <col min="12808" max="12809" width="11.25" style="5" customWidth="1"/>
    <col min="12810" max="13056" width="9" style="5"/>
    <col min="13057" max="13057" width="21.375" style="5" customWidth="1"/>
    <col min="13058" max="13058" width="11.125" style="5" customWidth="1"/>
    <col min="13059" max="13059" width="10.75" style="5" customWidth="1"/>
    <col min="13060" max="13060" width="9" style="5"/>
    <col min="13061" max="13062" width="8" style="5" customWidth="1"/>
    <col min="13063" max="13063" width="8.875" style="5" bestFit="1" customWidth="1"/>
    <col min="13064" max="13065" width="11.25" style="5" customWidth="1"/>
    <col min="13066" max="13312" width="9" style="5"/>
    <col min="13313" max="13313" width="21.375" style="5" customWidth="1"/>
    <col min="13314" max="13314" width="11.125" style="5" customWidth="1"/>
    <col min="13315" max="13315" width="10.75" style="5" customWidth="1"/>
    <col min="13316" max="13316" width="9" style="5"/>
    <col min="13317" max="13318" width="8" style="5" customWidth="1"/>
    <col min="13319" max="13319" width="8.875" style="5" bestFit="1" customWidth="1"/>
    <col min="13320" max="13321" width="11.25" style="5" customWidth="1"/>
    <col min="13322" max="13568" width="9" style="5"/>
    <col min="13569" max="13569" width="21.375" style="5" customWidth="1"/>
    <col min="13570" max="13570" width="11.125" style="5" customWidth="1"/>
    <col min="13571" max="13571" width="10.75" style="5" customWidth="1"/>
    <col min="13572" max="13572" width="9" style="5"/>
    <col min="13573" max="13574" width="8" style="5" customWidth="1"/>
    <col min="13575" max="13575" width="8.875" style="5" bestFit="1" customWidth="1"/>
    <col min="13576" max="13577" width="11.25" style="5" customWidth="1"/>
    <col min="13578" max="13824" width="9" style="5"/>
    <col min="13825" max="13825" width="21.375" style="5" customWidth="1"/>
    <col min="13826" max="13826" width="11.125" style="5" customWidth="1"/>
    <col min="13827" max="13827" width="10.75" style="5" customWidth="1"/>
    <col min="13828" max="13828" width="9" style="5"/>
    <col min="13829" max="13830" width="8" style="5" customWidth="1"/>
    <col min="13831" max="13831" width="8.875" style="5" bestFit="1" customWidth="1"/>
    <col min="13832" max="13833" width="11.25" style="5" customWidth="1"/>
    <col min="13834" max="14080" width="9" style="5"/>
    <col min="14081" max="14081" width="21.375" style="5" customWidth="1"/>
    <col min="14082" max="14082" width="11.125" style="5" customWidth="1"/>
    <col min="14083" max="14083" width="10.75" style="5" customWidth="1"/>
    <col min="14084" max="14084" width="9" style="5"/>
    <col min="14085" max="14086" width="8" style="5" customWidth="1"/>
    <col min="14087" max="14087" width="8.875" style="5" bestFit="1" customWidth="1"/>
    <col min="14088" max="14089" width="11.25" style="5" customWidth="1"/>
    <col min="14090" max="14336" width="9" style="5"/>
    <col min="14337" max="14337" width="21.375" style="5" customWidth="1"/>
    <col min="14338" max="14338" width="11.125" style="5" customWidth="1"/>
    <col min="14339" max="14339" width="10.75" style="5" customWidth="1"/>
    <col min="14340" max="14340" width="9" style="5"/>
    <col min="14341" max="14342" width="8" style="5" customWidth="1"/>
    <col min="14343" max="14343" width="8.875" style="5" bestFit="1" customWidth="1"/>
    <col min="14344" max="14345" width="11.25" style="5" customWidth="1"/>
    <col min="14346" max="14592" width="9" style="5"/>
    <col min="14593" max="14593" width="21.375" style="5" customWidth="1"/>
    <col min="14594" max="14594" width="11.125" style="5" customWidth="1"/>
    <col min="14595" max="14595" width="10.75" style="5" customWidth="1"/>
    <col min="14596" max="14596" width="9" style="5"/>
    <col min="14597" max="14598" width="8" style="5" customWidth="1"/>
    <col min="14599" max="14599" width="8.875" style="5" bestFit="1" customWidth="1"/>
    <col min="14600" max="14601" width="11.25" style="5" customWidth="1"/>
    <col min="14602" max="14848" width="9" style="5"/>
    <col min="14849" max="14849" width="21.375" style="5" customWidth="1"/>
    <col min="14850" max="14850" width="11.125" style="5" customWidth="1"/>
    <col min="14851" max="14851" width="10.75" style="5" customWidth="1"/>
    <col min="14852" max="14852" width="9" style="5"/>
    <col min="14853" max="14854" width="8" style="5" customWidth="1"/>
    <col min="14855" max="14855" width="8.875" style="5" bestFit="1" customWidth="1"/>
    <col min="14856" max="14857" width="11.25" style="5" customWidth="1"/>
    <col min="14858" max="15104" width="9" style="5"/>
    <col min="15105" max="15105" width="21.375" style="5" customWidth="1"/>
    <col min="15106" max="15106" width="11.125" style="5" customWidth="1"/>
    <col min="15107" max="15107" width="10.75" style="5" customWidth="1"/>
    <col min="15108" max="15108" width="9" style="5"/>
    <col min="15109" max="15110" width="8" style="5" customWidth="1"/>
    <col min="15111" max="15111" width="8.875" style="5" bestFit="1" customWidth="1"/>
    <col min="15112" max="15113" width="11.25" style="5" customWidth="1"/>
    <col min="15114" max="15360" width="9" style="5"/>
    <col min="15361" max="15361" width="21.375" style="5" customWidth="1"/>
    <col min="15362" max="15362" width="11.125" style="5" customWidth="1"/>
    <col min="15363" max="15363" width="10.75" style="5" customWidth="1"/>
    <col min="15364" max="15364" width="9" style="5"/>
    <col min="15365" max="15366" width="8" style="5" customWidth="1"/>
    <col min="15367" max="15367" width="8.875" style="5" bestFit="1" customWidth="1"/>
    <col min="15368" max="15369" width="11.25" style="5" customWidth="1"/>
    <col min="15370" max="15616" width="9" style="5"/>
    <col min="15617" max="15617" width="21.375" style="5" customWidth="1"/>
    <col min="15618" max="15618" width="11.125" style="5" customWidth="1"/>
    <col min="15619" max="15619" width="10.75" style="5" customWidth="1"/>
    <col min="15620" max="15620" width="9" style="5"/>
    <col min="15621" max="15622" width="8" style="5" customWidth="1"/>
    <col min="15623" max="15623" width="8.875" style="5" bestFit="1" customWidth="1"/>
    <col min="15624" max="15625" width="11.25" style="5" customWidth="1"/>
    <col min="15626" max="15872" width="9" style="5"/>
    <col min="15873" max="15873" width="21.375" style="5" customWidth="1"/>
    <col min="15874" max="15874" width="11.125" style="5" customWidth="1"/>
    <col min="15875" max="15875" width="10.75" style="5" customWidth="1"/>
    <col min="15876" max="15876" width="9" style="5"/>
    <col min="15877" max="15878" width="8" style="5" customWidth="1"/>
    <col min="15879" max="15879" width="8.875" style="5" bestFit="1" customWidth="1"/>
    <col min="15880" max="15881" width="11.25" style="5" customWidth="1"/>
    <col min="15882" max="16128" width="9" style="5"/>
    <col min="16129" max="16129" width="21.375" style="5" customWidth="1"/>
    <col min="16130" max="16130" width="11.125" style="5" customWidth="1"/>
    <col min="16131" max="16131" width="10.75" style="5" customWidth="1"/>
    <col min="16132" max="16132" width="9" style="5"/>
    <col min="16133" max="16134" width="8" style="5" customWidth="1"/>
    <col min="16135" max="16135" width="8.875" style="5" bestFit="1" customWidth="1"/>
    <col min="16136" max="16137" width="11.25" style="5" customWidth="1"/>
    <col min="16138" max="16384" width="9" style="5"/>
  </cols>
  <sheetData>
    <row r="1" spans="1:19" s="3" customFormat="1" ht="4.5" customHeight="1">
      <c r="B1" s="111" t="s">
        <v>364</v>
      </c>
      <c r="C1" s="111"/>
      <c r="D1" s="111"/>
      <c r="E1" s="111"/>
      <c r="F1" s="111"/>
      <c r="G1" s="111"/>
      <c r="H1" s="111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7.75" customHeight="1">
      <c r="B2" s="111"/>
      <c r="C2" s="111"/>
      <c r="D2" s="111"/>
      <c r="E2" s="111"/>
      <c r="F2" s="111"/>
      <c r="G2" s="111"/>
      <c r="H2" s="111"/>
    </row>
    <row r="3" spans="1:19" ht="19.5" customHeight="1">
      <c r="A3" s="7" t="s">
        <v>365</v>
      </c>
      <c r="C3" s="8"/>
      <c r="D3" s="9"/>
      <c r="E3" s="10"/>
      <c r="F3" s="10"/>
      <c r="G3" s="10"/>
    </row>
    <row r="4" spans="1:19" ht="19.5" customHeight="1">
      <c r="A4" s="7" t="s">
        <v>366</v>
      </c>
      <c r="C4" s="8"/>
      <c r="D4" s="9"/>
      <c r="E4" s="10"/>
      <c r="F4" s="10"/>
      <c r="G4" s="11"/>
      <c r="H4" s="11"/>
      <c r="I4" s="11"/>
    </row>
    <row r="5" spans="1:19" ht="12" customHeight="1" thickBot="1">
      <c r="G5" s="12"/>
      <c r="H5" s="112" t="str">
        <f>"작성일 : "&amp;TEXT(_xlfn.XLOOKUP(B7,near_miss_excel_view!C:C,near_miss_excel_view!D:D,"없음",0,1),"YY-MM-DD")</f>
        <v>작성일 : 26-05-12</v>
      </c>
      <c r="I5" s="112"/>
    </row>
    <row r="6" spans="1:19" s="16" customFormat="1" ht="18.75" customHeight="1">
      <c r="A6" s="13" t="s">
        <v>367</v>
      </c>
      <c r="B6" s="113" t="s">
        <v>368</v>
      </c>
      <c r="C6" s="114"/>
      <c r="D6" s="14" t="s">
        <v>369</v>
      </c>
      <c r="E6" s="115" t="str">
        <f>_xlfn.XLOOKUP(B7,near_miss_excel_view!C:C,near_miss_excel_view!B:B,"없음",0,1)</f>
        <v>박재민</v>
      </c>
      <c r="F6" s="116"/>
      <c r="G6" s="14" t="s">
        <v>370</v>
      </c>
      <c r="H6" s="115"/>
      <c r="I6" s="117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6" customFormat="1" ht="18.75" customHeight="1">
      <c r="A7" s="17" t="s">
        <v>371</v>
      </c>
      <c r="B7" s="118" t="s">
        <v>500</v>
      </c>
      <c r="C7" s="119"/>
      <c r="D7" s="119"/>
      <c r="E7" s="119"/>
      <c r="F7" s="119"/>
      <c r="G7" s="119"/>
      <c r="H7" s="119"/>
      <c r="I7" s="1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16" customFormat="1" ht="4.5" customHeight="1">
      <c r="A8" s="18"/>
      <c r="B8" s="19"/>
      <c r="I8" s="20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s="16" customFormat="1" ht="16.5" customHeight="1">
      <c r="A9" s="21" t="s">
        <v>372</v>
      </c>
      <c r="B9" s="22" t="str">
        <f>" 1. 발생 일시 :    "&amp;TEXT(_xlfn.XLOOKUP(B7,near_miss_excel_view!C:C,near_miss_excel_view!D:D,"없음",0,1),"YYYY년 MM월 DD일 hh시 mm분")&amp;" 경"</f>
        <v xml:space="preserve"> 1. 발생 일시 :    2026년 05월 12일 19시 30분 경</v>
      </c>
      <c r="C9" s="23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6.5" customHeight="1">
      <c r="A10" s="21" t="s">
        <v>373</v>
      </c>
      <c r="B10" s="24" t="str">
        <f>" 2. 발생 장소 :    "&amp;_xlfn.XLOOKUP(B7,near_miss_excel_view!C:C,near_miss_excel_view!E:E,"없음",0,1)</f>
        <v xml:space="preserve"> 2. 발생 장소 :    3K IDF 실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6.5" customHeight="1">
      <c r="A11" s="25" t="s">
        <v>374</v>
      </c>
      <c r="B11" s="75" t="str" cm="1">
        <f t="array" ref="B11">" 3. 내용 / 원인 : "&amp;_xlfn.XLOOKUP(B7,near_miss_excel_view!C:C,CHAR(10)&amp;"내용: "&amp;near_miss_excel_view!F:F&amp;CHAR(10)&amp;"원인: "&amp;near_miss_excel_view!G:G,"없음",0,1)</f>
        <v xml:space="preserve"> 3. 내용 / 원인 : 
내용: 오늘 3호 IDF 필터 청소 하기전 필터를 잡아 뽑는순간 뒤에있는 난간으로 넘어질뻔 했습니다
원인: 필터 빼기전에 발 위치부터 넓게 잡고 주변에 위험한 환경이 있는지 주변 파악한후 작업을 하도록 하겠습니다</v>
      </c>
      <c r="C11" s="76"/>
      <c r="D11" s="76"/>
      <c r="E11" s="76"/>
      <c r="F11" s="76"/>
      <c r="G11" s="76"/>
      <c r="H11" s="76"/>
      <c r="I11" s="77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6.5" customHeight="1">
      <c r="A12" s="26" t="s">
        <v>375</v>
      </c>
      <c r="B12" s="75"/>
      <c r="C12" s="76"/>
      <c r="D12" s="76"/>
      <c r="E12" s="76"/>
      <c r="F12" s="76"/>
      <c r="G12" s="76"/>
      <c r="H12" s="76"/>
      <c r="I12" s="7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6.5" customHeight="1">
      <c r="A13" s="26"/>
      <c r="B13" s="75"/>
      <c r="C13" s="76"/>
      <c r="D13" s="76"/>
      <c r="E13" s="76"/>
      <c r="F13" s="76"/>
      <c r="G13" s="76"/>
      <c r="H13" s="76"/>
      <c r="I13" s="77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6.5" customHeight="1">
      <c r="A14" s="26"/>
      <c r="B14" s="75"/>
      <c r="C14" s="76"/>
      <c r="D14" s="76"/>
      <c r="E14" s="76"/>
      <c r="F14" s="76"/>
      <c r="G14" s="76"/>
      <c r="H14" s="76"/>
      <c r="I14" s="77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6.5" customHeight="1">
      <c r="A15" s="21"/>
      <c r="B15" s="75"/>
      <c r="C15" s="76"/>
      <c r="D15" s="76"/>
      <c r="E15" s="76"/>
      <c r="F15" s="76"/>
      <c r="G15" s="76"/>
      <c r="H15" s="76"/>
      <c r="I15" s="7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17.45" customHeight="1" thickBot="1">
      <c r="A16" s="21"/>
      <c r="B16" s="75"/>
      <c r="C16" s="76"/>
      <c r="D16" s="76"/>
      <c r="E16" s="76"/>
      <c r="F16" s="76"/>
      <c r="G16" s="76"/>
      <c r="H16" s="76"/>
      <c r="I16" s="77"/>
      <c r="J16" s="15" t="s">
        <v>376</v>
      </c>
      <c r="K16" s="15"/>
      <c r="L16" s="15" t="s">
        <v>377</v>
      </c>
      <c r="M16" s="15"/>
      <c r="N16" s="15" t="s">
        <v>378</v>
      </c>
      <c r="O16" s="15"/>
      <c r="P16" s="15" t="s">
        <v>379</v>
      </c>
      <c r="Q16" s="15"/>
      <c r="R16" s="15" t="s">
        <v>380</v>
      </c>
      <c r="S16" s="15"/>
    </row>
    <row r="17" spans="1:19" s="16" customFormat="1" ht="16.149999999999999" customHeight="1">
      <c r="A17" s="78" t="s">
        <v>381</v>
      </c>
      <c r="B17" s="79"/>
      <c r="C17" s="79"/>
      <c r="D17" s="79"/>
      <c r="E17" s="79"/>
      <c r="F17" s="79"/>
      <c r="G17" s="79"/>
      <c r="H17" s="79"/>
      <c r="I17" s="80"/>
      <c r="J17" s="15" t="str">
        <f>_xlfn.XLOOKUP(B7,near_miss_excel_view!$C:$C,near_miss_excel_view!H:H,"없음",0,1)</f>
        <v>낙하</v>
      </c>
      <c r="K17" s="15"/>
      <c r="L17" s="15" t="str">
        <f>_xlfn.XLOOKUP(B7,near_miss_excel_view!$C:$C,near_miss_excel_view!I:I,"없음",0,1)</f>
        <v>안전난간</v>
      </c>
      <c r="M17" s="15"/>
      <c r="N17" s="15" t="str">
        <f>_xlfn.XLOOKUP(B7,near_miss_excel_view!$C:$C,near_miss_excel_view!J:J,"없음",0,1)</f>
        <v>기타: 부주의</v>
      </c>
      <c r="O17" s="15"/>
      <c r="P17" s="15" t="str">
        <f>_xlfn.XLOOKUP(B7,near_miss_excel_view!$C:$C,near_miss_excel_view!K:K,"없음",0,1)</f>
        <v>위험경로에 위치함</v>
      </c>
      <c r="Q17" s="15"/>
      <c r="R17" s="15" t="str">
        <f>_xlfn.XLOOKUP(B7,near_miss_excel_view!$C:$C,near_miss_excel_view!L:L,"없음",0,1)</f>
        <v>기타: 평소에 없었던 일이라 생각도 안하고 있었음.</v>
      </c>
      <c r="S17" s="15"/>
    </row>
    <row r="18" spans="1:19" s="16" customFormat="1" ht="15.75" customHeight="1">
      <c r="A18" s="81" t="s">
        <v>382</v>
      </c>
      <c r="B18" s="82"/>
      <c r="C18" s="83"/>
      <c r="D18" s="27" t="s">
        <v>383</v>
      </c>
      <c r="E18" s="28"/>
      <c r="F18" s="28"/>
      <c r="G18" s="84"/>
      <c r="H18" s="85"/>
      <c r="I18" s="86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16.149999999999999" customHeight="1">
      <c r="A19" s="87"/>
      <c r="B19" s="88"/>
      <c r="C19" s="29"/>
      <c r="D19" s="91"/>
      <c r="E19" s="92"/>
      <c r="F19" s="92"/>
      <c r="G19" s="92"/>
      <c r="H19" s="92"/>
      <c r="I19" s="93"/>
      <c r="J19" s="15" t="s">
        <v>384</v>
      </c>
      <c r="K19" s="15" t="b">
        <f t="shared" ref="K19:K36" si="0">IF(J19=$J$17,TRUE,FALSE)</f>
        <v>0</v>
      </c>
      <c r="L19" s="15" t="s">
        <v>168</v>
      </c>
      <c r="M19" s="15" t="b">
        <f>IF($L$17=L19,TRUE,FALSE)</f>
        <v>0</v>
      </c>
      <c r="N19" s="15" t="s">
        <v>385</v>
      </c>
      <c r="O19" s="15" t="b">
        <f t="shared" ref="O19:O26" si="1">IF($N$17=N19,TRUE,FALSE)</f>
        <v>0</v>
      </c>
      <c r="P19" s="15" t="s">
        <v>35</v>
      </c>
      <c r="Q19" s="15" t="b">
        <f>IF($P$17=P19,TRUE,FALSE)</f>
        <v>1</v>
      </c>
      <c r="R19" s="15" t="s">
        <v>36</v>
      </c>
      <c r="S19" s="15" t="b">
        <v>1</v>
      </c>
    </row>
    <row r="20" spans="1:19" s="16" customFormat="1" ht="16.149999999999999" customHeight="1">
      <c r="A20" s="87"/>
      <c r="B20" s="88"/>
      <c r="C20" s="29"/>
      <c r="D20" s="94"/>
      <c r="E20" s="88"/>
      <c r="F20" s="88"/>
      <c r="G20" s="88"/>
      <c r="H20" s="88"/>
      <c r="I20" s="95"/>
      <c r="J20" s="15" t="s">
        <v>32</v>
      </c>
      <c r="K20" s="15" t="b">
        <f t="shared" si="0"/>
        <v>0</v>
      </c>
      <c r="L20" s="15" t="s">
        <v>386</v>
      </c>
      <c r="M20" s="15" t="b">
        <v>0</v>
      </c>
      <c r="N20" s="15" t="s">
        <v>387</v>
      </c>
      <c r="O20" s="15" t="b">
        <f t="shared" si="1"/>
        <v>0</v>
      </c>
      <c r="P20" s="15" t="s">
        <v>158</v>
      </c>
      <c r="Q20" s="15" t="b">
        <f>IF($P$17=P20,TRUE,FALSE)</f>
        <v>0</v>
      </c>
      <c r="R20" s="15" t="s">
        <v>388</v>
      </c>
      <c r="S20" s="15" t="b">
        <f>IF($R$17=R20,TRUE,FALSE)</f>
        <v>0</v>
      </c>
    </row>
    <row r="21" spans="1:19" s="16" customFormat="1" ht="16.149999999999999" customHeight="1">
      <c r="A21" s="87"/>
      <c r="B21" s="88"/>
      <c r="C21" s="29"/>
      <c r="D21" s="94"/>
      <c r="E21" s="88"/>
      <c r="F21" s="88"/>
      <c r="G21" s="88"/>
      <c r="H21" s="88"/>
      <c r="I21" s="95"/>
      <c r="J21" s="15" t="s">
        <v>389</v>
      </c>
      <c r="K21" s="15" t="b">
        <f t="shared" si="0"/>
        <v>0</v>
      </c>
      <c r="L21" s="15" t="s">
        <v>390</v>
      </c>
      <c r="M21" s="15" t="b">
        <f>IF($L$17=L21,TRUE,FALSE)</f>
        <v>1</v>
      </c>
      <c r="N21" s="15" t="s">
        <v>391</v>
      </c>
      <c r="O21" s="15" t="b">
        <f t="shared" si="1"/>
        <v>0</v>
      </c>
      <c r="P21" s="15" t="s">
        <v>169</v>
      </c>
      <c r="Q21" s="15" t="b">
        <f>IF($P$17=P21,TRUE,FALSE)</f>
        <v>0</v>
      </c>
      <c r="R21" s="15" t="s">
        <v>392</v>
      </c>
      <c r="S21" s="15" t="b">
        <f>IF($R$17=R21,TRUE,FALSE)</f>
        <v>0</v>
      </c>
    </row>
    <row r="22" spans="1:19" s="16" customFormat="1" ht="16.149999999999999" customHeight="1">
      <c r="A22" s="87"/>
      <c r="B22" s="88"/>
      <c r="C22" s="29"/>
      <c r="D22" s="94"/>
      <c r="E22" s="88"/>
      <c r="F22" s="88"/>
      <c r="G22" s="88"/>
      <c r="H22" s="88"/>
      <c r="I22" s="95"/>
      <c r="J22" s="15" t="s">
        <v>393</v>
      </c>
      <c r="K22" s="15" t="b">
        <f t="shared" si="0"/>
        <v>1</v>
      </c>
      <c r="L22" s="15" t="s">
        <v>394</v>
      </c>
      <c r="M22" s="15" t="b">
        <v>0</v>
      </c>
      <c r="N22" s="15" t="s">
        <v>395</v>
      </c>
      <c r="O22" s="15" t="b">
        <f t="shared" si="1"/>
        <v>0</v>
      </c>
      <c r="P22" s="15" t="s">
        <v>234</v>
      </c>
      <c r="Q22" s="15" t="b">
        <f>IF($P$17=P22,TRUE,FALSE)</f>
        <v>0</v>
      </c>
      <c r="R22" s="15" t="s">
        <v>396</v>
      </c>
      <c r="S22" s="15" t="b">
        <v>0</v>
      </c>
    </row>
    <row r="23" spans="1:19" s="16" customFormat="1" ht="16.149999999999999" customHeight="1">
      <c r="A23" s="87"/>
      <c r="B23" s="88"/>
      <c r="C23" s="29"/>
      <c r="D23" s="94"/>
      <c r="E23" s="88"/>
      <c r="F23" s="88"/>
      <c r="G23" s="88"/>
      <c r="H23" s="88"/>
      <c r="I23" s="95"/>
      <c r="J23" s="15" t="s">
        <v>397</v>
      </c>
      <c r="K23" s="15" t="b">
        <f t="shared" si="0"/>
        <v>0</v>
      </c>
      <c r="L23" s="15" t="s">
        <v>398</v>
      </c>
      <c r="M23" s="15" t="b">
        <v>0</v>
      </c>
      <c r="N23" s="15" t="s">
        <v>399</v>
      </c>
      <c r="O23" s="15" t="b">
        <f t="shared" si="1"/>
        <v>0</v>
      </c>
      <c r="P23" s="15"/>
      <c r="Q23" s="15"/>
      <c r="R23" s="15"/>
      <c r="S23" s="15"/>
    </row>
    <row r="24" spans="1:19" s="16" customFormat="1" ht="16.149999999999999" customHeight="1">
      <c r="A24" s="87"/>
      <c r="B24" s="88"/>
      <c r="C24" s="29"/>
      <c r="D24" s="94"/>
      <c r="E24" s="88"/>
      <c r="F24" s="88"/>
      <c r="G24" s="88"/>
      <c r="H24" s="88"/>
      <c r="I24" s="95"/>
      <c r="J24" s="15" t="s">
        <v>400</v>
      </c>
      <c r="K24" s="15" t="b">
        <f t="shared" si="0"/>
        <v>0</v>
      </c>
      <c r="L24" s="15" t="s">
        <v>401</v>
      </c>
      <c r="M24" s="15" t="b">
        <v>0</v>
      </c>
      <c r="N24" s="15" t="s">
        <v>233</v>
      </c>
      <c r="O24" s="15" t="b">
        <f t="shared" si="1"/>
        <v>0</v>
      </c>
      <c r="P24" s="15"/>
      <c r="Q24" s="15"/>
      <c r="R24" s="15"/>
      <c r="S24" s="15"/>
    </row>
    <row r="25" spans="1:19" s="16" customFormat="1" ht="16.149999999999999" customHeight="1">
      <c r="A25" s="87"/>
      <c r="B25" s="88"/>
      <c r="C25" s="29"/>
      <c r="D25" s="94"/>
      <c r="E25" s="88"/>
      <c r="F25" s="88"/>
      <c r="G25" s="88"/>
      <c r="H25" s="88"/>
      <c r="I25" s="95"/>
      <c r="J25" s="15" t="s">
        <v>402</v>
      </c>
      <c r="K25" s="15" t="b">
        <f t="shared" si="0"/>
        <v>0</v>
      </c>
      <c r="L25" s="15" t="s">
        <v>403</v>
      </c>
      <c r="M25" s="15" t="b">
        <f t="shared" ref="M25:M36" si="2">IF($L$17=L25,TRUE,FALSE)</f>
        <v>0</v>
      </c>
      <c r="N25" s="15" t="s">
        <v>239</v>
      </c>
      <c r="O25" s="15" t="b">
        <f t="shared" si="1"/>
        <v>0</v>
      </c>
      <c r="P25" s="15"/>
      <c r="Q25" s="15"/>
      <c r="R25" s="15"/>
      <c r="S25" s="15"/>
    </row>
    <row r="26" spans="1:19" s="16" customFormat="1" ht="16.149999999999999" customHeight="1">
      <c r="A26" s="87"/>
      <c r="B26" s="88"/>
      <c r="C26" s="29"/>
      <c r="D26" s="96"/>
      <c r="E26" s="97"/>
      <c r="F26" s="97"/>
      <c r="G26" s="97"/>
      <c r="H26" s="97"/>
      <c r="I26" s="98"/>
      <c r="J26" s="15" t="s">
        <v>232</v>
      </c>
      <c r="K26" s="15" t="b">
        <f t="shared" si="0"/>
        <v>0</v>
      </c>
      <c r="L26" s="15" t="s">
        <v>33</v>
      </c>
      <c r="M26" s="15" t="b">
        <f t="shared" si="2"/>
        <v>0</v>
      </c>
      <c r="N26" s="15" t="s">
        <v>34</v>
      </c>
      <c r="O26" s="15" t="b">
        <f>IF(LEFT($N$17,3)="기타:",TRUE,FALSE)</f>
        <v>1</v>
      </c>
      <c r="P26" s="15"/>
      <c r="Q26" s="15"/>
      <c r="R26" s="15"/>
      <c r="S26" s="15"/>
    </row>
    <row r="27" spans="1:19" s="16" customFormat="1" ht="15.75" customHeight="1">
      <c r="A27" s="87"/>
      <c r="B27" s="88"/>
      <c r="C27" s="29"/>
      <c r="D27" s="30" t="s">
        <v>404</v>
      </c>
      <c r="E27" s="31"/>
      <c r="F27" s="31"/>
      <c r="G27" s="99"/>
      <c r="H27" s="100"/>
      <c r="I27" s="101"/>
      <c r="J27" s="15" t="s">
        <v>405</v>
      </c>
      <c r="K27" s="15" t="b">
        <f t="shared" si="0"/>
        <v>0</v>
      </c>
      <c r="L27" s="15" t="s">
        <v>406</v>
      </c>
      <c r="M27" s="15" t="b">
        <f t="shared" si="2"/>
        <v>0</v>
      </c>
      <c r="N27" s="15"/>
      <c r="O27" s="15"/>
      <c r="P27" s="15"/>
      <c r="Q27" s="15"/>
      <c r="R27" s="15"/>
      <c r="S27" s="15"/>
    </row>
    <row r="28" spans="1:19" s="16" customFormat="1" ht="16.5" customHeight="1">
      <c r="A28" s="87"/>
      <c r="B28" s="88"/>
      <c r="C28" s="29"/>
      <c r="D28" s="102"/>
      <c r="E28" s="103"/>
      <c r="F28" s="103"/>
      <c r="G28" s="103"/>
      <c r="H28" s="103"/>
      <c r="I28" s="104"/>
      <c r="J28" s="15" t="s">
        <v>407</v>
      </c>
      <c r="K28" s="15" t="b">
        <f t="shared" si="0"/>
        <v>0</v>
      </c>
      <c r="L28" s="15" t="s">
        <v>408</v>
      </c>
      <c r="M28" s="15" t="b">
        <f t="shared" si="2"/>
        <v>0</v>
      </c>
      <c r="N28" s="15"/>
      <c r="O28" s="15"/>
      <c r="P28" s="15"/>
      <c r="Q28" s="15"/>
      <c r="R28" s="15"/>
      <c r="S28" s="15"/>
    </row>
    <row r="29" spans="1:19" s="16" customFormat="1" ht="16.5" customHeight="1">
      <c r="A29" s="87"/>
      <c r="B29" s="88"/>
      <c r="C29" s="29"/>
      <c r="D29" s="105"/>
      <c r="E29" s="106"/>
      <c r="F29" s="106"/>
      <c r="G29" s="106"/>
      <c r="H29" s="106"/>
      <c r="I29" s="107"/>
      <c r="J29" s="15" t="s">
        <v>34</v>
      </c>
      <c r="K29" s="15" t="b">
        <f t="shared" si="0"/>
        <v>0</v>
      </c>
      <c r="L29" s="15" t="s">
        <v>34</v>
      </c>
      <c r="M29" s="15" t="b">
        <v>0</v>
      </c>
      <c r="N29" s="15"/>
      <c r="O29" s="15"/>
      <c r="P29" s="15"/>
      <c r="Q29" s="15"/>
      <c r="R29" s="15"/>
      <c r="S29" s="15"/>
    </row>
    <row r="30" spans="1:19" s="16" customFormat="1" ht="16.5" customHeight="1">
      <c r="A30" s="87"/>
      <c r="B30" s="88"/>
      <c r="C30" s="29"/>
      <c r="D30" s="105"/>
      <c r="E30" s="106"/>
      <c r="F30" s="106"/>
      <c r="G30" s="106"/>
      <c r="H30" s="106"/>
      <c r="I30" s="107"/>
      <c r="J30" s="15" t="s">
        <v>409</v>
      </c>
      <c r="K30" s="15" t="b">
        <f t="shared" si="0"/>
        <v>0</v>
      </c>
      <c r="L30" s="15" t="s">
        <v>410</v>
      </c>
      <c r="M30" s="15" t="b">
        <f t="shared" si="2"/>
        <v>0</v>
      </c>
      <c r="N30" s="15"/>
      <c r="O30" s="15"/>
      <c r="P30" s="15"/>
      <c r="Q30" s="15"/>
      <c r="R30" s="15"/>
      <c r="S30" s="15"/>
    </row>
    <row r="31" spans="1:19" s="16" customFormat="1" ht="16.5" customHeight="1">
      <c r="A31" s="87"/>
      <c r="B31" s="88"/>
      <c r="C31" s="29"/>
      <c r="D31" s="105"/>
      <c r="E31" s="106"/>
      <c r="F31" s="106"/>
      <c r="G31" s="106"/>
      <c r="H31" s="106"/>
      <c r="I31" s="107"/>
      <c r="J31" s="15" t="s">
        <v>411</v>
      </c>
      <c r="K31" s="15" t="b">
        <f t="shared" si="0"/>
        <v>0</v>
      </c>
      <c r="L31" s="15" t="s">
        <v>412</v>
      </c>
      <c r="M31" s="15" t="b">
        <f t="shared" si="2"/>
        <v>0</v>
      </c>
      <c r="N31" s="15"/>
      <c r="O31" s="15"/>
      <c r="P31" s="15"/>
      <c r="Q31" s="15"/>
      <c r="R31" s="15"/>
      <c r="S31" s="15"/>
    </row>
    <row r="32" spans="1:19" s="16" customFormat="1" ht="16.5" customHeight="1">
      <c r="A32" s="87"/>
      <c r="B32" s="88"/>
      <c r="C32" s="29"/>
      <c r="D32" s="105"/>
      <c r="E32" s="106"/>
      <c r="F32" s="106"/>
      <c r="G32" s="106"/>
      <c r="H32" s="106"/>
      <c r="I32" s="107"/>
      <c r="J32" s="15" t="s">
        <v>413</v>
      </c>
      <c r="K32" s="15" t="b">
        <f t="shared" si="0"/>
        <v>0</v>
      </c>
      <c r="L32" s="15" t="s">
        <v>414</v>
      </c>
      <c r="M32" s="15" t="b">
        <f t="shared" si="2"/>
        <v>0</v>
      </c>
      <c r="N32" s="15"/>
      <c r="O32" s="15"/>
      <c r="P32" s="15"/>
      <c r="Q32" s="15"/>
      <c r="R32" s="15"/>
      <c r="S32" s="15"/>
    </row>
    <row r="33" spans="1:19" s="16" customFormat="1" ht="16.5" customHeight="1">
      <c r="A33" s="87"/>
      <c r="B33" s="88"/>
      <c r="C33" s="29"/>
      <c r="D33" s="105"/>
      <c r="E33" s="106"/>
      <c r="F33" s="106"/>
      <c r="G33" s="106"/>
      <c r="H33" s="106"/>
      <c r="I33" s="107"/>
      <c r="J33" s="15" t="s">
        <v>415</v>
      </c>
      <c r="K33" s="15" t="b">
        <f t="shared" si="0"/>
        <v>0</v>
      </c>
      <c r="L33" s="15" t="s">
        <v>240</v>
      </c>
      <c r="M33" s="15" t="b">
        <f t="shared" si="2"/>
        <v>0</v>
      </c>
      <c r="N33" s="15"/>
      <c r="O33" s="15"/>
      <c r="P33" s="15"/>
      <c r="Q33" s="15"/>
      <c r="R33" s="15"/>
      <c r="S33" s="15"/>
    </row>
    <row r="34" spans="1:19" s="16" customFormat="1" ht="16.5" customHeight="1" thickBot="1">
      <c r="A34" s="89"/>
      <c r="B34" s="90"/>
      <c r="C34" s="32"/>
      <c r="D34" s="108"/>
      <c r="E34" s="109"/>
      <c r="F34" s="109"/>
      <c r="G34" s="109"/>
      <c r="H34" s="109"/>
      <c r="I34" s="110"/>
      <c r="J34" s="15" t="s">
        <v>416</v>
      </c>
      <c r="K34" s="15" t="b">
        <f t="shared" si="0"/>
        <v>0</v>
      </c>
      <c r="L34" s="15" t="s">
        <v>417</v>
      </c>
      <c r="M34" s="15" t="b">
        <f t="shared" si="2"/>
        <v>0</v>
      </c>
      <c r="N34" s="15"/>
      <c r="O34" s="15"/>
      <c r="P34" s="15"/>
      <c r="Q34" s="15"/>
      <c r="R34" s="15"/>
      <c r="S34" s="15"/>
    </row>
    <row r="35" spans="1:19" s="16" customFormat="1" ht="16.5" customHeight="1">
      <c r="A35" s="33" t="s">
        <v>418</v>
      </c>
      <c r="B35" s="34" t="s">
        <v>419</v>
      </c>
      <c r="C35" s="35"/>
      <c r="D35" s="35"/>
      <c r="E35" s="35"/>
      <c r="F35" s="35"/>
      <c r="G35" s="35"/>
      <c r="H35" s="36"/>
      <c r="I35" s="20"/>
      <c r="J35" s="15" t="s">
        <v>420</v>
      </c>
      <c r="K35" s="15" t="b">
        <f t="shared" si="0"/>
        <v>0</v>
      </c>
      <c r="L35" s="15" t="s">
        <v>421</v>
      </c>
      <c r="M35" s="15" t="b">
        <f t="shared" si="2"/>
        <v>0</v>
      </c>
      <c r="N35" s="15"/>
      <c r="O35" s="15"/>
      <c r="P35" s="15"/>
      <c r="Q35" s="15"/>
      <c r="R35" s="15"/>
      <c r="S35" s="15"/>
    </row>
    <row r="36" spans="1:19" s="16" customFormat="1" ht="16.5" customHeight="1">
      <c r="A36" s="33" t="s">
        <v>422</v>
      </c>
      <c r="B36" s="54" t="str">
        <f>_xlfn.LET(
_xlpm.RESULT, _xlfn.XLOOKUP(B7,near_miss_excel_view!C:C,near_miss_excel_view!N:N,"없음",0,1),
_xlpm.ANOTHER, _xlfn.XLOOKUP(B7,near_miss_excel_view!C:C,near_miss_excel_view!M:M,"없음",0,1),
IF(_xlpm.RESULT="",_xlpm.ANOTHER,_xlpm.RESULT))</f>
        <v>몸을 난간 정면으로 두기보다 약간측면으로 서고한 번에 잡아 잡아댕기지 말고 천천히 작업하도록 하겠습니다</v>
      </c>
      <c r="C36" s="55"/>
      <c r="D36" s="55"/>
      <c r="E36" s="55"/>
      <c r="F36" s="55"/>
      <c r="G36" s="55"/>
      <c r="H36" s="55"/>
      <c r="I36" s="56"/>
      <c r="J36" s="15" t="s">
        <v>423</v>
      </c>
      <c r="K36" s="15" t="b">
        <f t="shared" si="0"/>
        <v>0</v>
      </c>
      <c r="L36" s="15" t="s">
        <v>505</v>
      </c>
      <c r="M36" s="15" t="b">
        <f t="shared" si="2"/>
        <v>0</v>
      </c>
      <c r="N36" s="15"/>
      <c r="O36" s="15"/>
      <c r="P36" s="15"/>
      <c r="Q36" s="15"/>
      <c r="R36" s="15"/>
      <c r="S36" s="15"/>
    </row>
    <row r="37" spans="1:19" s="16" customFormat="1" ht="27.75" customHeight="1">
      <c r="A37" s="33" t="s">
        <v>425</v>
      </c>
      <c r="B37" s="54"/>
      <c r="C37" s="55"/>
      <c r="D37" s="55"/>
      <c r="E37" s="55"/>
      <c r="F37" s="55"/>
      <c r="G37" s="55"/>
      <c r="H37" s="55"/>
      <c r="I37" s="56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s="16" customFormat="1" ht="16.5" customHeight="1" thickBot="1">
      <c r="A38" s="37"/>
      <c r="B38" s="57"/>
      <c r="C38" s="58"/>
      <c r="D38" s="58"/>
      <c r="E38" s="58"/>
      <c r="F38" s="58"/>
      <c r="G38" s="58"/>
      <c r="H38" s="58"/>
      <c r="I38" s="59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s="16" customFormat="1" ht="18.75" customHeight="1" thickBot="1">
      <c r="A39" s="60" t="s">
        <v>426</v>
      </c>
      <c r="B39" s="61"/>
      <c r="C39" s="61"/>
      <c r="D39" s="61"/>
      <c r="E39" s="61"/>
      <c r="F39" s="61"/>
      <c r="G39" s="61"/>
      <c r="H39" s="61"/>
      <c r="I39" s="62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s="16" customFormat="1" ht="18" thickTop="1">
      <c r="A40" s="33" t="s">
        <v>427</v>
      </c>
      <c r="B40" s="34" t="s">
        <v>428</v>
      </c>
      <c r="C40" s="35"/>
      <c r="D40" s="35"/>
      <c r="E40" s="35"/>
      <c r="F40" s="35"/>
      <c r="G40" s="35"/>
      <c r="H40" s="36"/>
      <c r="I40" s="20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16" customFormat="1">
      <c r="A41" s="38" t="s">
        <v>429</v>
      </c>
      <c r="B41" s="63"/>
      <c r="C41" s="64"/>
      <c r="D41" s="64"/>
      <c r="E41" s="64"/>
      <c r="F41" s="64"/>
      <c r="G41" s="64"/>
      <c r="H41" s="64"/>
      <c r="I41" s="6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16" customFormat="1" ht="27.75" customHeight="1">
      <c r="A42" s="38" t="s">
        <v>430</v>
      </c>
      <c r="B42" s="63"/>
      <c r="C42" s="64"/>
      <c r="D42" s="64"/>
      <c r="E42" s="64"/>
      <c r="F42" s="64"/>
      <c r="G42" s="64"/>
      <c r="H42" s="64"/>
      <c r="I42" s="6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s="16" customFormat="1" ht="18" thickBot="1">
      <c r="A43" s="39"/>
      <c r="B43" s="66"/>
      <c r="C43" s="67"/>
      <c r="D43" s="67"/>
      <c r="E43" s="67"/>
      <c r="F43" s="67"/>
      <c r="G43" s="67"/>
      <c r="H43" s="67"/>
      <c r="I43" s="68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s="16" customFormat="1" ht="17.25" customHeight="1" thickBot="1">
      <c r="A44" s="40" t="s">
        <v>431</v>
      </c>
      <c r="B44" s="41" t="s">
        <v>432</v>
      </c>
      <c r="C44" s="69" t="s">
        <v>433</v>
      </c>
      <c r="D44" s="70"/>
      <c r="E44" s="71"/>
      <c r="F44" s="72" t="s">
        <v>434</v>
      </c>
      <c r="G44" s="73"/>
      <c r="H44" s="73"/>
      <c r="I44" s="74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16" customFormat="1" ht="18.75" customHeight="1" thickBot="1">
      <c r="A45" s="60" t="s">
        <v>435</v>
      </c>
      <c r="B45" s="61"/>
      <c r="C45" s="61"/>
      <c r="D45" s="61"/>
      <c r="E45" s="61"/>
      <c r="F45" s="61"/>
      <c r="G45" s="61"/>
      <c r="H45" s="61"/>
      <c r="I45" s="62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16" customFormat="1" ht="17.25" customHeight="1" thickTop="1" thickBot="1">
      <c r="A46" s="42" t="s">
        <v>436</v>
      </c>
      <c r="B46" s="43" t="s">
        <v>437</v>
      </c>
      <c r="C46" s="45" t="s">
        <v>433</v>
      </c>
      <c r="D46" s="46"/>
      <c r="E46" s="47"/>
      <c r="F46" s="48"/>
      <c r="G46" s="49"/>
      <c r="H46" s="49"/>
      <c r="I46" s="50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s="16" customFormat="1" ht="18.75" thickTop="1" thickBot="1">
      <c r="A47" s="51" t="s">
        <v>438</v>
      </c>
      <c r="B47" s="52"/>
      <c r="C47" s="52"/>
      <c r="D47" s="52"/>
      <c r="E47" s="52"/>
      <c r="F47" s="52"/>
      <c r="G47" s="52"/>
      <c r="H47" s="52"/>
      <c r="I47" s="53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>
      <c r="A48" s="44" t="s">
        <v>439</v>
      </c>
    </row>
  </sheetData>
  <mergeCells count="23">
    <mergeCell ref="C46:E46"/>
    <mergeCell ref="F46:I46"/>
    <mergeCell ref="A47:I47"/>
    <mergeCell ref="B36:I38"/>
    <mergeCell ref="A39:I39"/>
    <mergeCell ref="B41:I43"/>
    <mergeCell ref="C44:E44"/>
    <mergeCell ref="F44:I44"/>
    <mergeCell ref="A45:I45"/>
    <mergeCell ref="B11:I16"/>
    <mergeCell ref="A17:I17"/>
    <mergeCell ref="A18:C18"/>
    <mergeCell ref="G18:I18"/>
    <mergeCell ref="A19:B34"/>
    <mergeCell ref="D19:I26"/>
    <mergeCell ref="G27:I27"/>
    <mergeCell ref="D28:I34"/>
    <mergeCell ref="B1:H2"/>
    <mergeCell ref="H5:I5"/>
    <mergeCell ref="B6:C6"/>
    <mergeCell ref="E6:F6"/>
    <mergeCell ref="H6:I6"/>
    <mergeCell ref="B7:I7"/>
  </mergeCells>
  <phoneticPr fontId="1" type="noConversion"/>
  <printOptions horizontalCentered="1" gridLinesSet="0"/>
  <pageMargins left="0.23622047244094491" right="0.27559055118110237" top="0.55118110236220474" bottom="0" header="0.51181102362204722" footer="0.31496062992125984"/>
  <pageSetup paperSize="9" scale="94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26</xdr:row>
                    <xdr:rowOff>142875</xdr:rowOff>
                  </from>
                  <to>
                    <xdr:col>4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28</xdr:row>
                    <xdr:rowOff>76200</xdr:rowOff>
                  </from>
                  <to>
                    <xdr:col>4</xdr:col>
                    <xdr:colOff>352425</xdr:colOff>
                    <xdr:row>29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Check Box 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29</xdr:row>
                    <xdr:rowOff>47625</xdr:rowOff>
                  </from>
                  <to>
                    <xdr:col>4</xdr:col>
                    <xdr:colOff>352425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Check Box 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9525</xdr:rowOff>
                  </from>
                  <to>
                    <xdr:col>4</xdr:col>
                    <xdr:colOff>352425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8" name="Check Box 5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30</xdr:row>
                    <xdr:rowOff>180975</xdr:rowOff>
                  </from>
                  <to>
                    <xdr:col>4</xdr:col>
                    <xdr:colOff>352425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2" r:id="rId9" name="Check Box 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31</xdr:row>
                    <xdr:rowOff>152400</xdr:rowOff>
                  </from>
                  <to>
                    <xdr:col>4</xdr:col>
                    <xdr:colOff>352425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3" r:id="rId10" name="Check Box 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27</xdr:row>
                    <xdr:rowOff>114300</xdr:rowOff>
                  </from>
                  <to>
                    <xdr:col>4</xdr:col>
                    <xdr:colOff>352425</xdr:colOff>
                    <xdr:row>28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4" r:id="rId11" name="Check Box 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32</xdr:row>
                    <xdr:rowOff>114300</xdr:rowOff>
                  </from>
                  <to>
                    <xdr:col>4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5" r:id="rId12" name="Check Box 9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19050</xdr:rowOff>
                  </from>
                  <to>
                    <xdr:col>7</xdr:col>
                    <xdr:colOff>285750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6" r:id="rId13" name="Check Box 10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28</xdr:row>
                    <xdr:rowOff>200025</xdr:rowOff>
                  </from>
                  <to>
                    <xdr:col>7</xdr:col>
                    <xdr:colOff>666750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7" r:id="rId14" name="Check Box 11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0</xdr:rowOff>
                  </from>
                  <to>
                    <xdr:col>8</xdr:col>
                    <xdr:colOff>771525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8" r:id="rId15" name="Check Box 12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29</xdr:row>
                    <xdr:rowOff>190500</xdr:rowOff>
                  </from>
                  <to>
                    <xdr:col>8</xdr:col>
                    <xdr:colOff>771525</xdr:colOff>
                    <xdr:row>30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9" r:id="rId16" name="Check Box 13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30</xdr:row>
                    <xdr:rowOff>161925</xdr:rowOff>
                  </from>
                  <to>
                    <xdr:col>8</xdr:col>
                    <xdr:colOff>714375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0" r:id="rId17" name="Check Box 14">
              <controlPr defaultSize="0" autoFill="0" autoLine="0" autoPict="0">
                <anchor moveWithCells="1" sizeWithCells="1">
                  <from>
                    <xdr:col>7</xdr:col>
                    <xdr:colOff>857250</xdr:colOff>
                    <xdr:row>31</xdr:row>
                    <xdr:rowOff>161925</xdr:rowOff>
                  </from>
                  <to>
                    <xdr:col>8</xdr:col>
                    <xdr:colOff>771525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1" r:id="rId18" name="Check Box 15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9525</xdr:rowOff>
                  </from>
                  <to>
                    <xdr:col>7</xdr:col>
                    <xdr:colOff>352425</xdr:colOff>
                    <xdr:row>23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2" r:id="rId19" name="Check Box 16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23</xdr:row>
                    <xdr:rowOff>161925</xdr:rowOff>
                  </from>
                  <to>
                    <xdr:col>7</xdr:col>
                    <xdr:colOff>152400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3" r:id="rId20" name="Check Box 17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9525</xdr:rowOff>
                  </from>
                  <to>
                    <xdr:col>7</xdr:col>
                    <xdr:colOff>695325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4" r:id="rId21" name="Check Box 18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18</xdr:row>
                    <xdr:rowOff>180975</xdr:rowOff>
                  </from>
                  <to>
                    <xdr:col>7</xdr:col>
                    <xdr:colOff>695325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5" r:id="rId22" name="Check Box 19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19</xdr:row>
                    <xdr:rowOff>152400</xdr:rowOff>
                  </from>
                  <to>
                    <xdr:col>7</xdr:col>
                    <xdr:colOff>695325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6" r:id="rId23" name="Check Box 20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20</xdr:row>
                    <xdr:rowOff>123825</xdr:rowOff>
                  </from>
                  <to>
                    <xdr:col>7</xdr:col>
                    <xdr:colOff>695325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7" r:id="rId24" name="Check Box 21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21</xdr:row>
                    <xdr:rowOff>57150</xdr:rowOff>
                  </from>
                  <to>
                    <xdr:col>7</xdr:col>
                    <xdr:colOff>542925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8" r:id="rId25" name="Check Box 22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22</xdr:row>
                    <xdr:rowOff>57150</xdr:rowOff>
                  </from>
                  <to>
                    <xdr:col>7</xdr:col>
                    <xdr:colOff>533400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9" r:id="rId26" name="Check Box 23">
              <controlPr defaultSize="0" autoFill="0" autoLine="0" autoPict="0">
                <anchor moveWithCells="1" sizeWithCells="1">
                  <from>
                    <xdr:col>5</xdr:col>
                    <xdr:colOff>523875</xdr:colOff>
                    <xdr:row>24</xdr:row>
                    <xdr:rowOff>114300</xdr:rowOff>
                  </from>
                  <to>
                    <xdr:col>7</xdr:col>
                    <xdr:colOff>209550</xdr:colOff>
                    <xdr:row>25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0" r:id="rId27" name="Check Box 24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30</xdr:row>
                    <xdr:rowOff>161925</xdr:rowOff>
                  </from>
                  <to>
                    <xdr:col>7</xdr:col>
                    <xdr:colOff>285750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1" r:id="rId28" name="Check Box 25">
              <controlPr defaultSize="0" autoFill="0" autoLine="0" autoPict="0">
                <anchor moveWithCells="1" sizeWithCells="1">
                  <from>
                    <xdr:col>5</xdr:col>
                    <xdr:colOff>219075</xdr:colOff>
                    <xdr:row>31</xdr:row>
                    <xdr:rowOff>123825</xdr:rowOff>
                  </from>
                  <to>
                    <xdr:col>7</xdr:col>
                    <xdr:colOff>666750</xdr:colOff>
                    <xdr:row>32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2" r:id="rId29" name="Check Box 26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0</xdr:rowOff>
                  </from>
                  <to>
                    <xdr:col>4</xdr:col>
                    <xdr:colOff>295275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3" r:id="rId30" name="Check Box 27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23</xdr:row>
                    <xdr:rowOff>180975</xdr:rowOff>
                  </from>
                  <to>
                    <xdr:col>4</xdr:col>
                    <xdr:colOff>114300</xdr:colOff>
                    <xdr:row>24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4" r:id="rId31" name="Check Box 28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9525</xdr:rowOff>
                  </from>
                  <to>
                    <xdr:col>4</xdr:col>
                    <xdr:colOff>609600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5" r:id="rId32" name="Check Box 29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18</xdr:row>
                    <xdr:rowOff>180975</xdr:rowOff>
                  </from>
                  <to>
                    <xdr:col>4</xdr:col>
                    <xdr:colOff>609600</xdr:colOff>
                    <xdr:row>19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6" r:id="rId33" name="Check Box 30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19</xdr:row>
                    <xdr:rowOff>152400</xdr:rowOff>
                  </from>
                  <to>
                    <xdr:col>4</xdr:col>
                    <xdr:colOff>609600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7" r:id="rId34" name="Check Box 31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20</xdr:row>
                    <xdr:rowOff>123825</xdr:rowOff>
                  </from>
                  <to>
                    <xdr:col>4</xdr:col>
                    <xdr:colOff>609600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8" r:id="rId35" name="Check Box 32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21</xdr:row>
                    <xdr:rowOff>85725</xdr:rowOff>
                  </from>
                  <to>
                    <xdr:col>4</xdr:col>
                    <xdr:colOff>466725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9" r:id="rId36" name="Check Box 33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22</xdr:row>
                    <xdr:rowOff>57150</xdr:rowOff>
                  </from>
                  <to>
                    <xdr:col>4</xdr:col>
                    <xdr:colOff>466725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0" r:id="rId37" name="Check Box 34">
              <controlPr defaultSize="0" autoFill="0" autoLine="0" autoPict="0">
                <anchor moveWithCells="1" sizeWithCells="1">
                  <from>
                    <xdr:col>2</xdr:col>
                    <xdr:colOff>619125</xdr:colOff>
                    <xdr:row>24</xdr:row>
                    <xdr:rowOff>161925</xdr:rowOff>
                  </from>
                  <to>
                    <xdr:col>4</xdr:col>
                    <xdr:colOff>171450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1" r:id="rId38" name="Check Box 35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28</xdr:row>
                    <xdr:rowOff>114300</xdr:rowOff>
                  </from>
                  <to>
                    <xdr:col>1</xdr:col>
                    <xdr:colOff>666750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2" r:id="rId39" name="Check Box 36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29</xdr:row>
                    <xdr:rowOff>114300</xdr:rowOff>
                  </from>
                  <to>
                    <xdr:col>1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3" r:id="rId40" name="Check Box 37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22</xdr:row>
                    <xdr:rowOff>66675</xdr:rowOff>
                  </from>
                  <to>
                    <xdr:col>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4" r:id="rId41" name="Check Box 38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23</xdr:row>
                    <xdr:rowOff>66675</xdr:rowOff>
                  </from>
                  <to>
                    <xdr:col>2</xdr:col>
                    <xdr:colOff>66675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5" r:id="rId42" name="Check Box 39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24</xdr:row>
                    <xdr:rowOff>66675</xdr:rowOff>
                  </from>
                  <to>
                    <xdr:col>2</xdr:col>
                    <xdr:colOff>66675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6" r:id="rId43" name="Check Box 40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25</xdr:row>
                    <xdr:rowOff>76200</xdr:rowOff>
                  </from>
                  <to>
                    <xdr:col>2</xdr:col>
                    <xdr:colOff>66675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7" r:id="rId44" name="Check Box 41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26</xdr:row>
                    <xdr:rowOff>76200</xdr:rowOff>
                  </from>
                  <to>
                    <xdr:col>1</xdr:col>
                    <xdr:colOff>809625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8" r:id="rId45" name="Check Box 42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27</xdr:row>
                    <xdr:rowOff>85725</xdr:rowOff>
                  </from>
                  <to>
                    <xdr:col>1</xdr:col>
                    <xdr:colOff>800100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9" r:id="rId46" name="Check Box 43">
              <controlPr defaultSize="0" autoFill="0" autoLine="0" autoPict="0">
                <anchor moveWithCells="1" sizeWithCells="1">
                  <from>
                    <xdr:col>0</xdr:col>
                    <xdr:colOff>1476375</xdr:colOff>
                    <xdr:row>30</xdr:row>
                    <xdr:rowOff>114300</xdr:rowOff>
                  </from>
                  <to>
                    <xdr:col>1</xdr:col>
                    <xdr:colOff>561975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0" r:id="rId47" name="Check Box 44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28</xdr:row>
                    <xdr:rowOff>114300</xdr:rowOff>
                  </from>
                  <to>
                    <xdr:col>0</xdr:col>
                    <xdr:colOff>1190625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1" r:id="rId48" name="Check Box 45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29</xdr:row>
                    <xdr:rowOff>114300</xdr:rowOff>
                  </from>
                  <to>
                    <xdr:col>0</xdr:col>
                    <xdr:colOff>1085850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2" r:id="rId49" name="Check Box 46">
              <controlPr defaultSize="0" autoFill="0" autoLine="0" autoPict="0" altText="추락">
                <anchor moveWithCells="1" sizeWithCells="1">
                  <from>
                    <xdr:col>0</xdr:col>
                    <xdr:colOff>581025</xdr:colOff>
                    <xdr:row>22</xdr:row>
                    <xdr:rowOff>66675</xdr:rowOff>
                  </from>
                  <to>
                    <xdr:col>0</xdr:col>
                    <xdr:colOff>1371600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3" r:id="rId50" name="Check Box 47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23</xdr:row>
                    <xdr:rowOff>66675</xdr:rowOff>
                  </from>
                  <to>
                    <xdr:col>0</xdr:col>
                    <xdr:colOff>1371600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4" r:id="rId51" name="Check Box 48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24</xdr:row>
                    <xdr:rowOff>66675</xdr:rowOff>
                  </from>
                  <to>
                    <xdr:col>0</xdr:col>
                    <xdr:colOff>1371600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5" r:id="rId52" name="Check Box 49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25</xdr:row>
                    <xdr:rowOff>76200</xdr:rowOff>
                  </from>
                  <to>
                    <xdr:col>0</xdr:col>
                    <xdr:colOff>1371600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6" r:id="rId53" name="Check Box 50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26</xdr:row>
                    <xdr:rowOff>76200</xdr:rowOff>
                  </from>
                  <to>
                    <xdr:col>0</xdr:col>
                    <xdr:colOff>1295400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7" r:id="rId54" name="Check Box 51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27</xdr:row>
                    <xdr:rowOff>85725</xdr:rowOff>
                  </from>
                  <to>
                    <xdr:col>0</xdr:col>
                    <xdr:colOff>1285875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8" r:id="rId55" name="Check Box 52">
              <controlPr defaultSize="0" autoFill="0" autoLine="0" autoPict="0">
                <anchor moveWithCells="1" sizeWithCells="1">
                  <from>
                    <xdr:col>0</xdr:col>
                    <xdr:colOff>581025</xdr:colOff>
                    <xdr:row>30</xdr:row>
                    <xdr:rowOff>114300</xdr:rowOff>
                  </from>
                  <to>
                    <xdr:col>0</xdr:col>
                    <xdr:colOff>1114425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AC8F4E-BAA6-464A-AEC4-451D8E259AAB}">
          <x14:formula1>
            <xm:f>near_miss_excel_view!$C:$C</xm:f>
          </x14:formula1>
          <xm:sqref>B7:I7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A9C9-4C37-4C62-8377-06958FAA5E5D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040D8-5E7A-4024-BF81-5EF5BF83E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15</vt:i4>
      </vt:variant>
    </vt:vector>
  </HeadingPairs>
  <TitlesOfParts>
    <vt:vector size="33" baseType="lpstr">
      <vt:lpstr>DROPDOWN_LIST</vt:lpstr>
      <vt:lpstr>near_miss_excel_view</vt:lpstr>
      <vt:lpstr>보고서(4-01)</vt:lpstr>
      <vt:lpstr>보고서(4-02)</vt:lpstr>
      <vt:lpstr>보고서(4-03)</vt:lpstr>
      <vt:lpstr>보고서(4-13) (2)</vt:lpstr>
      <vt:lpstr>보고서(4-13)</vt:lpstr>
      <vt:lpstr>보고서(4-15)</vt:lpstr>
      <vt:lpstr>보고서(4-16)</vt:lpstr>
      <vt:lpstr>보고서(4-18)</vt:lpstr>
      <vt:lpstr>보고서(4-28)</vt:lpstr>
      <vt:lpstr>보고서(5-1)</vt:lpstr>
      <vt:lpstr>보고서(5-3)</vt:lpstr>
      <vt:lpstr>보고서(5-6)</vt:lpstr>
      <vt:lpstr>보고서(5-7)</vt:lpstr>
      <vt:lpstr>보고서(5-8)</vt:lpstr>
      <vt:lpstr>보고서(5-12)</vt:lpstr>
      <vt:lpstr>Sheet2</vt:lpstr>
      <vt:lpstr>'보고서(4-01)'!Print_Area</vt:lpstr>
      <vt:lpstr>'보고서(4-02)'!Print_Area</vt:lpstr>
      <vt:lpstr>'보고서(4-03)'!Print_Area</vt:lpstr>
      <vt:lpstr>'보고서(4-13)'!Print_Area</vt:lpstr>
      <vt:lpstr>'보고서(4-13) (2)'!Print_Area</vt:lpstr>
      <vt:lpstr>'보고서(4-15)'!Print_Area</vt:lpstr>
      <vt:lpstr>'보고서(4-16)'!Print_Area</vt:lpstr>
      <vt:lpstr>'보고서(4-18)'!Print_Area</vt:lpstr>
      <vt:lpstr>'보고서(4-28)'!Print_Area</vt:lpstr>
      <vt:lpstr>'보고서(5-1)'!Print_Area</vt:lpstr>
      <vt:lpstr>'보고서(5-12)'!Print_Area</vt:lpstr>
      <vt:lpstr>'보고서(5-3)'!Print_Area</vt:lpstr>
      <vt:lpstr>'보고서(5-6)'!Print_Area</vt:lpstr>
      <vt:lpstr>'보고서(5-7)'!Print_Area</vt:lpstr>
      <vt:lpstr>'보고서(5-8)'!Print_Area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남균 김</dc:creator>
  <cp:lastModifiedBy>남균 김</cp:lastModifiedBy>
  <cp:lastPrinted>2026-05-25T21:21:44Z</cp:lastPrinted>
  <dcterms:created xsi:type="dcterms:W3CDTF">2026-04-10T06:38:08Z</dcterms:created>
  <dcterms:modified xsi:type="dcterms:W3CDTF">2026-05-26T03:03:28Z</dcterms:modified>
</cp:coreProperties>
</file>